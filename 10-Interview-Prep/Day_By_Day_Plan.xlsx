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ew folder\EA preparation series\10-Interview-Prep\"/>
    </mc:Choice>
  </mc:AlternateContent>
  <xr:revisionPtr revIDLastSave="0" documentId="13_ncr:1_{90E53970-696B-4C1B-9B1E-3576155036A9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y by Day" sheetId="1" r:id="rId1"/>
  </sheets>
  <definedNames>
    <definedName name="_xlnm._FilterDatabase" localSheetId="0" hidden="1">'Day by Day'!$A$7:$Q$63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63" i="1" l="1"/>
  <c r="D63" i="1"/>
  <c r="B63" i="1"/>
  <c r="C63" i="1" s="1"/>
  <c r="N62" i="1"/>
  <c r="D62" i="1"/>
  <c r="B62" i="1"/>
  <c r="C62" i="1" s="1"/>
  <c r="N61" i="1"/>
  <c r="D61" i="1"/>
  <c r="B61" i="1"/>
  <c r="C61" i="1" s="1"/>
  <c r="N60" i="1"/>
  <c r="D60" i="1"/>
  <c r="B60" i="1"/>
  <c r="C60" i="1" s="1"/>
  <c r="N59" i="1"/>
  <c r="D59" i="1"/>
  <c r="C59" i="1"/>
  <c r="B59" i="1"/>
  <c r="N58" i="1"/>
  <c r="D58" i="1"/>
  <c r="B58" i="1"/>
  <c r="C58" i="1" s="1"/>
  <c r="N57" i="1"/>
  <c r="D57" i="1"/>
  <c r="B57" i="1"/>
  <c r="C57" i="1" s="1"/>
  <c r="N56" i="1"/>
  <c r="D56" i="1"/>
  <c r="C56" i="1"/>
  <c r="B56" i="1"/>
  <c r="N55" i="1"/>
  <c r="D55" i="1"/>
  <c r="B55" i="1"/>
  <c r="C55" i="1" s="1"/>
  <c r="N54" i="1"/>
  <c r="D54" i="1"/>
  <c r="B54" i="1"/>
  <c r="C54" i="1" s="1"/>
  <c r="N53" i="1"/>
  <c r="D53" i="1"/>
  <c r="C53" i="1"/>
  <c r="B53" i="1"/>
  <c r="N52" i="1"/>
  <c r="D52" i="1"/>
  <c r="B52" i="1"/>
  <c r="C52" i="1" s="1"/>
  <c r="N51" i="1"/>
  <c r="D51" i="1"/>
  <c r="B51" i="1"/>
  <c r="C51" i="1" s="1"/>
  <c r="N50" i="1"/>
  <c r="D50" i="1"/>
  <c r="C50" i="1"/>
  <c r="B50" i="1"/>
  <c r="N49" i="1"/>
  <c r="D49" i="1"/>
  <c r="B49" i="1"/>
  <c r="C49" i="1" s="1"/>
  <c r="N48" i="1"/>
  <c r="D48" i="1"/>
  <c r="B48" i="1"/>
  <c r="C48" i="1" s="1"/>
  <c r="N47" i="1"/>
  <c r="D47" i="1"/>
  <c r="C47" i="1"/>
  <c r="B47" i="1"/>
  <c r="N46" i="1"/>
  <c r="D46" i="1"/>
  <c r="B46" i="1"/>
  <c r="C46" i="1" s="1"/>
  <c r="N45" i="1"/>
  <c r="D45" i="1"/>
  <c r="B45" i="1"/>
  <c r="C45" i="1" s="1"/>
  <c r="N44" i="1"/>
  <c r="D44" i="1"/>
  <c r="C44" i="1"/>
  <c r="B44" i="1"/>
  <c r="N43" i="1"/>
  <c r="D43" i="1"/>
  <c r="B43" i="1"/>
  <c r="C43" i="1" s="1"/>
  <c r="N42" i="1"/>
  <c r="D42" i="1"/>
  <c r="B42" i="1"/>
  <c r="C42" i="1" s="1"/>
  <c r="N41" i="1"/>
  <c r="D41" i="1"/>
  <c r="C41" i="1"/>
  <c r="B41" i="1"/>
  <c r="N40" i="1"/>
  <c r="D40" i="1"/>
  <c r="B40" i="1"/>
  <c r="C40" i="1" s="1"/>
  <c r="N39" i="1"/>
  <c r="D39" i="1"/>
  <c r="B39" i="1"/>
  <c r="C39" i="1" s="1"/>
  <c r="N38" i="1"/>
  <c r="D38" i="1"/>
  <c r="C38" i="1"/>
  <c r="B38" i="1"/>
  <c r="N37" i="1"/>
  <c r="D37" i="1"/>
  <c r="B37" i="1"/>
  <c r="C37" i="1" s="1"/>
  <c r="N36" i="1"/>
  <c r="D36" i="1"/>
  <c r="B36" i="1"/>
  <c r="C36" i="1" s="1"/>
  <c r="N35" i="1"/>
  <c r="D35" i="1"/>
  <c r="C35" i="1"/>
  <c r="B35" i="1"/>
  <c r="N34" i="1"/>
  <c r="D34" i="1"/>
  <c r="B34" i="1"/>
  <c r="C34" i="1" s="1"/>
  <c r="N33" i="1"/>
  <c r="D33" i="1"/>
  <c r="B33" i="1"/>
  <c r="C33" i="1" s="1"/>
  <c r="N32" i="1"/>
  <c r="D32" i="1"/>
  <c r="C32" i="1"/>
  <c r="B32" i="1"/>
  <c r="N31" i="1"/>
  <c r="D31" i="1"/>
  <c r="B31" i="1"/>
  <c r="C31" i="1" s="1"/>
  <c r="N30" i="1"/>
  <c r="D30" i="1"/>
  <c r="B30" i="1"/>
  <c r="C30" i="1" s="1"/>
  <c r="N29" i="1"/>
  <c r="D29" i="1"/>
  <c r="C29" i="1"/>
  <c r="B29" i="1"/>
  <c r="N28" i="1"/>
  <c r="D28" i="1"/>
  <c r="B28" i="1"/>
  <c r="C28" i="1" s="1"/>
  <c r="N27" i="1"/>
  <c r="D27" i="1"/>
  <c r="B27" i="1"/>
  <c r="C27" i="1" s="1"/>
  <c r="N26" i="1"/>
  <c r="D26" i="1"/>
  <c r="C26" i="1"/>
  <c r="B26" i="1"/>
  <c r="N25" i="1"/>
  <c r="D25" i="1"/>
  <c r="B25" i="1"/>
  <c r="C25" i="1" s="1"/>
  <c r="N24" i="1"/>
  <c r="D24" i="1"/>
  <c r="B24" i="1"/>
  <c r="C24" i="1" s="1"/>
  <c r="N23" i="1"/>
  <c r="D23" i="1"/>
  <c r="C23" i="1"/>
  <c r="B23" i="1"/>
  <c r="N22" i="1"/>
  <c r="D22" i="1"/>
  <c r="B22" i="1"/>
  <c r="C22" i="1" s="1"/>
  <c r="N21" i="1"/>
  <c r="D21" i="1"/>
  <c r="B21" i="1"/>
  <c r="C21" i="1" s="1"/>
  <c r="N20" i="1"/>
  <c r="D20" i="1"/>
  <c r="C20" i="1"/>
  <c r="B20" i="1"/>
  <c r="N19" i="1"/>
  <c r="D19" i="1"/>
  <c r="B19" i="1"/>
  <c r="C19" i="1" s="1"/>
  <c r="N18" i="1"/>
  <c r="D18" i="1"/>
  <c r="B18" i="1"/>
  <c r="C18" i="1" s="1"/>
  <c r="N17" i="1"/>
  <c r="D17" i="1"/>
  <c r="C17" i="1"/>
  <c r="B17" i="1"/>
  <c r="N16" i="1"/>
  <c r="D16" i="1"/>
  <c r="B16" i="1"/>
  <c r="C16" i="1" s="1"/>
  <c r="N15" i="1"/>
  <c r="D15" i="1"/>
  <c r="B15" i="1"/>
  <c r="C15" i="1" s="1"/>
  <c r="N14" i="1"/>
  <c r="D14" i="1"/>
  <c r="C14" i="1"/>
  <c r="B14" i="1"/>
  <c r="N13" i="1"/>
  <c r="D13" i="1"/>
  <c r="B13" i="1"/>
  <c r="C13" i="1" s="1"/>
  <c r="N12" i="1"/>
  <c r="D12" i="1"/>
  <c r="B12" i="1"/>
  <c r="C12" i="1" s="1"/>
  <c r="N11" i="1"/>
  <c r="D11" i="1"/>
  <c r="C11" i="1"/>
  <c r="B11" i="1"/>
  <c r="N10" i="1"/>
  <c r="D10" i="1"/>
  <c r="B10" i="1"/>
  <c r="C10" i="1" s="1"/>
  <c r="N9" i="1"/>
  <c r="D9" i="1"/>
  <c r="B9" i="1"/>
  <c r="C9" i="1" s="1"/>
  <c r="N8" i="1"/>
  <c r="D8" i="1"/>
  <c r="C8" i="1"/>
  <c r="B8" i="1"/>
  <c r="F5" i="1"/>
  <c r="I4" i="1"/>
  <c r="F4" i="1"/>
</calcChain>
</file>

<file path=xl/sharedStrings.xml><?xml version="1.0" encoding="utf-8"?>
<sst xmlns="http://schemas.openxmlformats.org/spreadsheetml/2006/main" count="304" uniqueCount="189">
  <si>
    <t>Day-by-Day Plan: 8 Weeks, Mon 26 Oct 2026 to Sun 20 Dec 2026</t>
  </si>
  <si>
    <t>Rule: a day is Done only when its output exists. Minutes are a planning assumption (weekday 150, Saturday 300, Sunday 150).</t>
  </si>
  <si>
    <t>Start date (Monday)</t>
  </si>
  <si>
    <t>Days done</t>
  </si>
  <si>
    <t>Hours done</t>
  </si>
  <si>
    <t>Hours planned</t>
  </si>
  <si>
    <t>Day</t>
  </si>
  <si>
    <t>Date</t>
  </si>
  <si>
    <t>Weekday</t>
  </si>
  <si>
    <t>Week</t>
  </si>
  <si>
    <t>Theme</t>
  </si>
  <si>
    <t>Study chapters (guide, part, chapters)</t>
  </si>
  <si>
    <t>Hours</t>
  </si>
  <si>
    <t>Study min</t>
  </si>
  <si>
    <t>Build or hands-on min</t>
  </si>
  <si>
    <t>DSA task</t>
  </si>
  <si>
    <t>DSA min</t>
  </si>
  <si>
    <t>Review or output min</t>
  </si>
  <si>
    <t>Done when (output)</t>
  </si>
  <si>
    <t>Total min</t>
  </si>
  <si>
    <t>Status</t>
  </si>
  <si>
    <t>Notes</t>
  </si>
  <si>
    <t>Core Java: OOP, collections and streams</t>
  </si>
  <si>
    <t>Core Java Part 3 (Object-Oriented Java): Inheritance; Polymorphism and Dynamic Dispatch; Abstract Classes and Interfaces</t>
  </si>
  <si>
    <t>DSA Patterns Part 1: Complexity analysis; Java toolkit for DSA (read both, then solve 1 easy problem)</t>
  </si>
  <si>
    <t>Explain abstract class versus interface in 2 minutes, aloud.</t>
  </si>
  <si>
    <t>Not started</t>
  </si>
  <si>
    <t>Core Java Part 3: The Object Class; Wrapper Classes, Autoboxing and Identity. Part 4: Strings in depth</t>
  </si>
  <si>
    <t>DSA Patterns: Prefix Sum and Difference Array. 2 problems</t>
  </si>
  <si>
    <t>equals and hashCode written for one class and tested in a HashSet.</t>
  </si>
  <si>
    <t>Core Java Part 6 (Generics and Collections): The Collections Framework; Lists in depth; Sets</t>
  </si>
  <si>
    <t>DSA Patterns: Two Pointers. 2 problems</t>
  </si>
  <si>
    <t>Table of ArrayList, LinkedList, HashSet and TreeSet with Big-O, written from memory.</t>
  </si>
  <si>
    <t>Core Java Part 6: HashMap in depth; Other maps: LinkedHashMap, TreeMap and the specialists; Choosing a data structure, and Big-O</t>
  </si>
  <si>
    <t>DSA Patterns: Sliding Window: Fixed Size. 2 problems</t>
  </si>
  <si>
    <t>3-minute HashMap explanation covering hashing, resize and treeification.</t>
  </si>
  <si>
    <t>Core Java Part 5: Exceptions. Part 6: Generics</t>
  </si>
  <si>
    <t>DSA Patterns: Sliding Window: Variable Size. 2 problems</t>
  </si>
  <si>
    <t>One-page note on checked versus unchecked exceptions and wildcard generics.</t>
  </si>
  <si>
    <t>Core Java Part 6: Implement your own: array list, linked list, hash map, LRU cache. Part 7 (Functional Java): Lambdas and Functional Interfaces; Streams: Fundamentals; Collectors</t>
  </si>
  <si>
    <t>DSA Patterns: Hash Map and Frequency Counting. 3 problems</t>
  </si>
  <si>
    <t>Own HashMap and LRU cache coded and tested; 5 stream pipelines written.</t>
  </si>
  <si>
    <t>Core Java Part 14 (Interview Preparation): Interview Q&amp;A: Language, OOP, Strings, Exceptions and I/O; Interview Q&amp;A: Collections, Generics, Streams and Functional Java</t>
  </si>
  <si>
    <t>Redo any two problems left unsolved this week</t>
  </si>
  <si>
    <t>Weekly review: questions that could not be answered are listed in the Notes column.</t>
  </si>
  <si>
    <t>Concurrency, the JVM and Spring internals</t>
  </si>
  <si>
    <t>Core Java Part 8 (Concurrency): Concurrency Concepts; Threads; Races and the Java Memory Model</t>
  </si>
  <si>
    <t>DSA Patterns: Binary search on sorted arrays. 2 problems</t>
  </si>
  <si>
    <t>Race condition reproduced with two threads and a shared counter.</t>
  </si>
  <si>
    <t>Core Java Part 8: synchronized and Monitors; Locks and Atomics; Thread Confinement, Immutability and Liveness</t>
  </si>
  <si>
    <t>DSA Patterns: Binary search on the answer. 2 problems</t>
  </si>
  <si>
    <t>Deadlock written, then fixed with lock ordering.</t>
  </si>
  <si>
    <t>Core Java Part 8: Executors and Thread Pools; CompletableFuture; Synchronizers and Concurrent Collections</t>
  </si>
  <si>
    <t>DSA Patterns: Sorting-based problems and merge intervals. 2 problems</t>
  </si>
  <si>
    <t>Small ExecutorService program that runs 3 tasks in parallel with a timeout.</t>
  </si>
  <si>
    <t>Core Java Part 9 (The JVM in Depth): Objects in Memory; Heap Structure and Reference Types; Garbage Collection Fundamentals; The Collectors</t>
  </si>
  <si>
    <t>DSA Patterns: Kadane, greedy scans and in-place array tricks. 2 problems</t>
  </si>
  <si>
    <t>Heap, stack and metaspace drawn from memory; phases of the G1 collector listed.</t>
  </si>
  <si>
    <t>Core Java Part 9: Reading GC Logs and Tuning; Memory Leaks and OutOfMemoryError. Part 8: Virtual Threads</t>
  </si>
  <si>
    <t>DSA Patterns: Linked list basics, dummy node and reversal. 2 problems</t>
  </si>
  <si>
    <t>OutOfMemoryError reproduced and diagnosed with jcmd or a heap dump.</t>
  </si>
  <si>
    <t>Spring Boot Basics Part 1 (Spring Boot Foundations): all five chapters. Spring Boot Beyond Basics Part 1: The Spring Container Internals; AOP and Proxies</t>
  </si>
  <si>
    <t>DSA Patterns: Fast and slow pointers. 3 problems</t>
  </si>
  <si>
    <t>Bean lifecycle and proxy diagram drawn from memory; 2-minute explanation of how @Transactional works through a proxy.</t>
  </si>
  <si>
    <t>Core Java Part 14: Interview Q&amp;A: Concurrency, the Memory Model and the JVM; Interview Q&amp;A: Modern Java; What Does This Print? Fifty Puzzles (first 25)</t>
  </si>
  <si>
    <t>Weekly review: weak topics noted in the Notes column.</t>
  </si>
  <si>
    <t>Spring data access, transactions and security</t>
  </si>
  <si>
    <t>Spring Boot Beyond Basics Part 1: Auto-Configuration and Configuration in Depth; The Spring MVC Request Lifecycle</t>
  </si>
  <si>
    <t>DSA Patterns: Stack patterns. 2 problems</t>
  </si>
  <si>
    <t>Request path from DispatcherServlet to response drawn from memory.</t>
  </si>
  <si>
    <t>Spring Boot Beyond Basics Part 2 (Data Access in Depth): JPA and Hibernate Architecture; Mapping in Depth</t>
  </si>
  <si>
    <t>DSA Patterns: Monotonic stack. 2 problems</t>
  </si>
  <si>
    <t>Persistence context and entity states explained in 3 minutes.</t>
  </si>
  <si>
    <t>Spring Boot Beyond Basics Part 2: Fetching and the N+1 Family; Performance of the Data Layer</t>
  </si>
  <si>
    <t>DSA Patterns: Queue, deque and monotonic deque. 2 problems</t>
  </si>
  <si>
    <t>A real N+1 reproduced and fixed in Swagruha Food or the internship project, with query counts before and after.</t>
  </si>
  <si>
    <t>Spring Boot Beyond Basics Part 2: Transactions in Spring; Query Techniques and Spring Data Internals</t>
  </si>
  <si>
    <t>DSA Patterns: Recursion and Divide and Conquer. 2 problems</t>
  </si>
  <si>
    <t>A test that shows the self-invocation @Transactional pitfall; table of propagation and isolation written.</t>
  </si>
  <si>
    <t>Spring Boot Beyond Basics Part 3 (Spring Security): Security Architecture: Filters, Authentication and Password Storage; Authorisation: Request Rules, Method Security and Ownership</t>
  </si>
  <si>
    <t>DSA Patterns: Backtracking: Subsets, Permutations, Combinations. 2 problems</t>
  </si>
  <si>
    <t>Security filter chain explained from memory.</t>
  </si>
  <si>
    <t>Spring Boot Beyond Basics Part 3: Web Attacks and Defences; Sessions and Tokens: Choosing an Authentication State Model; JSON Web Tokens in Depth; OAuth 2.0 and OpenID Connect; Securing Microservices and Testing Security</t>
  </si>
  <si>
    <t>DSA Patterns: Backtracking on Grids and Constraints. 3 problems</t>
  </si>
  <si>
    <t>JWT refresh and revocation design implemented in Swagruha Food, with a one-page note.</t>
  </si>
  <si>
    <t>Spring Boot Beyond Basics Part 5: Testing Strategy and Unit Tests; Spring Slice Tests and Context Caching; Integration Testing with Testcontainers. Spring Boot Basics Part 6: Interview Q&amp;A</t>
  </si>
  <si>
    <t>Tests added to one backend project (service unit tests plus one @DataJpaTest or Testcontainers test).</t>
  </si>
  <si>
    <t>Databases and Redis</t>
  </si>
  <si>
    <t>Databases Part 1 (Relational): SQL Fundamentals; Joins; Aggregation and Grouping; Subqueries and Common Table Expressions</t>
  </si>
  <si>
    <t>DSA Patterns: Binary Tree DFS. 2 problems</t>
  </si>
  <si>
    <t>10 SQL queries written without looking; start the SQL Practice Plan tab.</t>
  </si>
  <si>
    <t>Databases Part 1: Window Functions; Thirty Classic SQL Interview Problems (first 15)</t>
  </si>
  <si>
    <t>DSA Patterns: Binary Tree BFS and Level Order. 2 problems</t>
  </si>
  <si>
    <t>15 SQL problems solved and timed.</t>
  </si>
  <si>
    <t>Databases Part 1: Indexes; Reading Query Plans; Query Optimisation Techniques; Slow Query Diagnosis</t>
  </si>
  <si>
    <t>DSA Patterns: BST and Tree Construction. 2 problems</t>
  </si>
  <si>
    <t>One slow CareerFlux query indexed, with EXPLAIN output and timings before and after.</t>
  </si>
  <si>
    <t>Databases Part 1: Transactions and ACID; Concurrency Anomalies and Isolation Levels; MVCC Internals, VACUUM and Bloat; Locking, Deadlocks and Optimistic Concurrency</t>
  </si>
  <si>
    <t>DSA Patterns: Tries. 2 problems</t>
  </si>
  <si>
    <t>Isolation level and anomaly table written from memory.</t>
  </si>
  <si>
    <t>Redis Part 1: What Redis Is; Why Redis Is Fast. Part 3 (Data Structures): Strings; Hashes; Sets; Sorted sets; Choosing the right structure. Part 4: Expiration; Memory Limits and Eviction</t>
  </si>
  <si>
    <t>DSA Patterns: Heaps and Top-K. 2 problems</t>
  </si>
  <si>
    <t>Redis structure chosen for a session, a leaderboard, unique visitors and a queue, each answered with the commands.</t>
  </si>
  <si>
    <t>Redis Part 8 (Patterns): Caching fundamentals; Cache-aside; Cache failure modes; Distributed locks; Rate limiting. Part 7: Spring Cache with Redis</t>
  </si>
  <si>
    <t>DSA Patterns: Graph Representation, DFS and BFS. 3 problems</t>
  </si>
  <si>
    <t>Cache-stampede test on CareerFlux with a mitigation (lock or jitter); results noted.</t>
  </si>
  <si>
    <t>Databases Part 2 (NoSQL): Why NoSQL; Distributed data fundamentals; Choosing a database; Relational versus Non-Relational: A Head-to-Head Comparison; Interview Question Bank</t>
  </si>
  <si>
    <t>Weekly review; the choice of SQL versus NoSQL for CareerFlux explained in 2 minutes.</t>
  </si>
  <si>
    <t>Operating systems and computer networks</t>
  </si>
  <si>
    <t>Operating Systems Part 2 (Processes, Threads and Scheduling): Processes; Threads; CPU Scheduling</t>
  </si>
  <si>
    <t>DSA Patterns: Topological Sort. 2 problems</t>
  </si>
  <si>
    <t>Process versus thread comparison from memory; cost of a context switch explained.</t>
  </si>
  <si>
    <t>Operating Systems Part 3 (Memory Management): Virtual Memory and Address Spaces; Paging and Address Translation; Page Replacement, Working Sets and Swapping; The Memory of a JVM Process</t>
  </si>
  <si>
    <t>DSA Patterns: Union-Find (Disjoint Set Union). 2 problems</t>
  </si>
  <si>
    <t>Virtual-to-physical address translation worked on paper for a small example.</t>
  </si>
  <si>
    <t>Operating Systems Part 4 (Concurrency and Synchronisation): Race Conditions and Critical Sections; Mutexes, Semaphores, Condition Variables and Spinlocks; Deadlock, Livelock, Starvation and Priority Inversion</t>
  </si>
  <si>
    <t>DSA Patterns: Shortest Paths. 2 problems</t>
  </si>
  <si>
    <t>Four deadlock conditions and a prevention for each, written from memory.</t>
  </si>
  <si>
    <t>Computer Networks Part 1 and 2: Layered Architecture; IPv4 Addressing and the IPv4 Header; Classless Addressing and Subnetting. Part 3: TCP Segments and Connection Management; TCP Reliability</t>
  </si>
  <si>
    <t>DSA Patterns: Dynamic programming: the method. 2 problems</t>
  </si>
  <si>
    <t>Three subnetting problems solved; three-way handshake drawn.</t>
  </si>
  <si>
    <t>Computer Networks Part 3 and 4: Flow Control; Congestion Control; The Domain Name System; HTTP/1.1; HTTP Caching and Conditional Requests</t>
  </si>
  <si>
    <t>DSA Patterns: DP on grids and paths. 2 problems</t>
  </si>
  <si>
    <t>DNS resolution steps and HTTP caching headers explained.</t>
  </si>
  <si>
    <t>Computer Networks Part 4 to 6: Cookies, Sessions and Authentication over HTTP; HTTP/2 and HTTP/3; Cross-Origin Resource Sharing (CORS); TLS and HTTPS; Reverse Proxies, Load Balancers and Gateways; What Happens When a URL Is Entered</t>
  </si>
  <si>
    <t>DSA Patterns: Knapsack patterns. 3 problems</t>
  </si>
  <si>
    <t>5-minute spoken walkthrough of what happens when a URL is entered, recorded.</t>
  </si>
  <si>
    <t>Operating Systems Part 6: Interview Question Bank. Computer Networks Part 6: Interview Question Bank</t>
  </si>
  <si>
    <t>Weekly review; list of weak topics in the Notes column.</t>
  </si>
  <si>
    <t>System design, microservices and Kafka</t>
  </si>
  <si>
    <t>System Design Part 1: How to Approach a System Design Interview; Back-of-the-Envelope Estimation; Scalability and Performance Basics</t>
  </si>
  <si>
    <t>DSA Patterns: DP on strings and sequences. 2 problems</t>
  </si>
  <si>
    <t>One estimation worked on paper (QPS, storage, bandwidth).</t>
  </si>
  <si>
    <t>System Design Part 1: Load Balancing and Networking for Design; Availability and Reliability; Choosing the Data Store; Caching</t>
  </si>
  <si>
    <t>DSA Patterns: DP on intervals, trees and states. 2 problems</t>
  </si>
  <si>
    <t>Cache strategies (aside, read-through, write-back) compared in a table from memory.</t>
  </si>
  <si>
    <t>System Design Part 1: Replication, Partitioning and Consistent Hashing; Consistency and Distributed Coordination; Asynchronous Processing and Messaging; Common Infrastructure Components</t>
  </si>
  <si>
    <t>DSA Patterns: Greedy. 2 problems</t>
  </si>
  <si>
    <t>Consistent hashing explained in 3 minutes.</t>
  </si>
  <si>
    <t>System Design Part 2 (High-Level Design Case Studies): Design: URL Shortener; Design: Distributed Rate Limiter; Design: Unique ID Generator</t>
  </si>
  <si>
    <t>DSA Patterns: Bit manipulation. 2 problems</t>
  </si>
  <si>
    <t>Two designs done on paper in 35 minutes each, then compared with the chapter.</t>
  </si>
  <si>
    <t>System Design Part 2: Design: News Feed; Design: Chat System; Design: Notification System</t>
  </si>
  <si>
    <t>DSA Patterns: Pattern recognition cheat sheet (read), then 2 problems</t>
  </si>
  <si>
    <t>One design done on paper in 35 minutes.</t>
  </si>
  <si>
    <t>Spring Boot Beyond Basics Part 4 (Microservices and Resilience): Microservice Architecture; Synchronous Communication; Service Discovery, Configuration and Gateways; Resilience: Timeouts, Retries, Circuit Breakers and Bulkheads; Distributed Data and Transactions. Kafka Part 1: What Kafka Is (and What It Is Not); The Building Blocks at a Glance; What Kafka Guarantees. Part 2: Topics, Partitions and the Commit Log</t>
  </si>
  <si>
    <t>DSA Patterns: Mixed interview questions. 3 problems</t>
  </si>
  <si>
    <t>Timeout, retry and circuit breaker each explained with the failure it prevents.</t>
  </si>
  <si>
    <t>Kafka Part 3: Reliability: Acknowledgements, Retries and Idempotence. Part 6: Error Handling in Spring Kafka Listeners; Non-Blocking Retries with @RetryableTopic; Idempotent Consumers and the Inbox Pattern. System Design Part 1: Asynchronous Processing and Messaging (consumer groups and delivery semantics)</t>
  </si>
  <si>
    <t>Duplicate-delivery test and a dead-letter topic added to the CareerFlux pipeline; one-page design note.</t>
  </si>
  <si>
    <t>Low-level design, Git, Docker and CI/CD</t>
  </si>
  <si>
    <t>System Design Part 3 (Low-Level Design in Java): Object-Oriented Design Principles; Design Patterns for LLD; The LLD Interview Process</t>
  </si>
  <si>
    <t>DSA Patterns: Mixed interview questions. 2 problems</t>
  </si>
  <si>
    <t>Each SOLID principle stated with a one-line violation example.</t>
  </si>
  <si>
    <t>System Design Part 3: LLD: Parking Lot; LLD: LRU and LFU Cache; LLD: Elevator System</t>
  </si>
  <si>
    <t>Parking Lot coded from scratch in 45 minutes without looking.</t>
  </si>
  <si>
    <t>System Design Part 3: LLD: Splitwise, Expense Sharing; LLD: Vending Machine; LLD: Rate Limiter; LLD: Movie Ticket Booking, Seat Hold</t>
  </si>
  <si>
    <t>Seat-hold race condition reproduced and fixed.</t>
  </si>
  <si>
    <t>Git, Docker and CI/CD Part 1 (Git and GitHub): Version Control and How Git Stores Data; Everyday Git; Branching, Merging and Rebasing; Recovering from Mistakes</t>
  </si>
  <si>
    <t>A merge conflict resolved and a deleted branch recovered with the reflog, on a practice repository.</t>
  </si>
  <si>
    <t>Git, Docker and CI/CD Part 1: Remotes and Collaboration; Branching Strategies and Team Workflows; GitHub. Part 2 (Containers with Docker): Containers, Namespaces and cgroups; Images and Layers; Writing Dockerfiles</t>
  </si>
  <si>
    <t>Branch protection and a pull request workflow set up on a personal repository.</t>
  </si>
  <si>
    <t>Git, Docker and CI/CD Part 2: Dockerizing a Spring Boot Application; Docker Compose; Container Security and Image Hardening. Part 3 (Continuous Integration and Delivery): GitHub Actions Fundamentals; GitHub Actions: Matrices, Images, Environments and Reuse</t>
  </si>
  <si>
    <t>CareerFlux with a multi-stage Dockerfile, a Compose file (app, PostgreSQL, Redis) and a GitHub Actions workflow running green.</t>
  </si>
  <si>
    <t>Git, Docker and CI/CD Part 3: Why Jenkins When GitHub Has Actions; The Jenkinsfile: Declarative Pipeline in Practice. Part 4: Deployment Strategies and Safe Releases</t>
  </si>
  <si>
    <t>Answer to why Jenkins is used when GitHub has Actions rehearsed in 2 minutes; weekly review.</t>
  </si>
  <si>
    <t>Deployment, resume, mocks and applications</t>
  </si>
  <si>
    <t>Git, Docker and CI/CD Part 4 (Running in Production): Why Orchestration and Kubernetes Architecture; Core Objects: Pods, Deployments, Services and Configuration; Cloud Foundations and IAM; Running orders-service on AWS</t>
  </si>
  <si>
    <t>DSA Patterns Part 7: Final checklist and how to practise on LeetCode. 2 problems</t>
  </si>
  <si>
    <t>Deployment target for CareerFlux chosen (EC2 or ECS) and the steps written down.</t>
  </si>
  <si>
    <t>Build day: deploy CareerFlux. Push the image to a registry and run it on the chosen AWS target behind a public URL. Reference: Git, Docker and CI/CD Part 4: Running orders-service on AWS; Secrets and Configuration</t>
  </si>
  <si>
    <t>2 timed problems (25 minutes each)</t>
  </si>
  <si>
    <t>CareerFlux live on a public URL with CI running; link added to the README and the resume.</t>
  </si>
  <si>
    <t>Resume and project walkthroughs: work through the Resume Fixes tab; prepare a 3-minute architecture walkthrough per project using the Project Interview Prep tab</t>
  </si>
  <si>
    <t>2 problems</t>
  </si>
  <si>
    <t>Final resume; one walkthrough note per project.</t>
  </si>
  <si>
    <t>Mock interview 1: Core Java and Spring Boot. Question sources: Core Java Part 14 and Spring Boot Beyond Basics Part 6: Interview Question Bank</t>
  </si>
  <si>
    <t>2 timed problems</t>
  </si>
  <si>
    <t>Mock completed with a peer or recorded; weak answers listed.</t>
  </si>
  <si>
    <t>Mock interview 2: Databases and System Design. Question sources: Databases Part 2: Interview Question Bank and System Design Part 4: Interview Preparation</t>
  </si>
  <si>
    <t>Mock completed; one full high-level design presented in 40 minutes.</t>
  </si>
  <si>
    <t>Mock interview 3: DSA (2 timed problems) and LLD (one machine-coding problem in 60 minutes). Then apply and polish the GitHub README and LinkedIn profile using the GitHub chapter in Git, Docker and CI/CD Part 1</t>
  </si>
  <si>
    <t>Two timed problems inside the mock</t>
  </si>
  <si>
    <t>15 applications sent with a tailored resume; profiles updated.</t>
  </si>
  <si>
    <t>Final revision from the cheat sheets: System Design Part 4, Databases Part 2, Spring Boot Beyond Basics Part 6, Git, Docker and CI/CD Part 4</t>
  </si>
  <si>
    <t>Redo any unsolved problems</t>
  </si>
  <si>
    <t>Next-phase plan written: about 10 applications and 1 mock interview per week.</t>
  </si>
  <si>
    <t>Legend: yellow cells are yours to edit (start date, Status, Hours done, Notes). Blue numbers are planned values and can be changed; Total min is checked against Hours (150 min = 2.5 h, 300 min = 5 h). Example note: 'Isolation levels: still unsure when a phantom read occurs'.</t>
  </si>
  <si>
    <t>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</si>
</sst>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 d\ mmm\ yyyy"/>
    <numFmt numFmtId="165" formatCode="ddd\ d\ mmm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6" fontId="5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5"/>
  <sheetViews>
    <sheetView tabSelected="1" zoomScaleNormal="100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P8" sqref="P8"/>
    </sheetView>
  </sheetViews>
  <sheetFormatPr defaultColWidth="8.6640625" defaultRowHeight="14.4" x14ac:dyDescent="0.3"/>
  <cols>
    <col min="1" max="1" width="6" customWidth="1"/>
    <col min="2" max="2" width="13" customWidth="1"/>
    <col min="3" max="3" width="10" customWidth="1"/>
    <col min="4" max="4" width="6" customWidth="1"/>
    <col min="5" max="5" width="28" customWidth="1"/>
    <col min="6" max="6" width="64" customWidth="1"/>
    <col min="7" max="7" width="7" customWidth="1"/>
    <col min="8" max="8" width="8" customWidth="1"/>
    <col min="9" max="9" width="11" customWidth="1"/>
    <col min="10" max="10" width="34" customWidth="1"/>
    <col min="11" max="11" width="8" customWidth="1"/>
    <col min="12" max="12" width="12" customWidth="1"/>
    <col min="13" max="13" width="44" customWidth="1"/>
    <col min="14" max="14" width="8" customWidth="1"/>
    <col min="15" max="15" width="13" customWidth="1"/>
    <col min="16" max="16" width="9" customWidth="1"/>
    <col min="17" max="17" width="30" customWidth="1"/>
  </cols>
  <sheetData>
    <row r="1" spans="1:17" ht="17.399999999999999" x14ac:dyDescent="0.3">
      <c r="A1" s="2" t="s">
        <v>0</v>
      </c>
    </row>
    <row r="2" spans="1:17" x14ac:dyDescent="0.3">
      <c r="A2" s="3" t="s">
        <v>1</v>
      </c>
    </row>
    <row r="4" spans="1:17" x14ac:dyDescent="0.3">
      <c r="A4" s="4" t="s">
        <v>2</v>
      </c>
      <c r="C4" s="5">
        <v>46321</v>
      </c>
      <c r="E4" s="4" t="s">
        <v>3</v>
      </c>
      <c r="F4" s="6" t="str">
        <f>COUNTIF(O8:O63,"Done")&amp;" of "&amp;COUNTA(A8:A63)</f>
        <v>0 of 56</v>
      </c>
      <c r="H4" s="4" t="s">
        <v>4</v>
      </c>
      <c r="I4" s="6">
        <f>SUM(P8:P63)</f>
        <v>0.5</v>
      </c>
    </row>
    <row r="5" spans="1:17" x14ac:dyDescent="0.3">
      <c r="E5" s="4" t="s">
        <v>5</v>
      </c>
      <c r="F5" s="6">
        <f>SUM(G8:G63)</f>
        <v>160</v>
      </c>
    </row>
    <row r="7" spans="1:17" ht="31.5" customHeight="1" x14ac:dyDescent="0.3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4</v>
      </c>
      <c r="Q7" s="7" t="s">
        <v>21</v>
      </c>
    </row>
    <row r="8" spans="1:17" ht="45" customHeight="1" x14ac:dyDescent="0.3">
      <c r="A8" s="8">
        <v>1</v>
      </c>
      <c r="B8" s="9">
        <f t="shared" ref="B8:B39" si="0">$C$4+A8-1</f>
        <v>46321</v>
      </c>
      <c r="C8" s="8" t="str">
        <f t="shared" ref="C8:C39" si="1">TEXT(B8,"ddd")</f>
        <v>Mon</v>
      </c>
      <c r="D8" s="8">
        <f t="shared" ref="D8:D39" si="2">INT((A8-1)/7)+1</f>
        <v>1</v>
      </c>
      <c r="E8" s="8" t="s">
        <v>22</v>
      </c>
      <c r="F8" s="8" t="s">
        <v>23</v>
      </c>
      <c r="G8" s="10">
        <v>2.5</v>
      </c>
      <c r="H8" s="11">
        <v>60</v>
      </c>
      <c r="I8" s="11">
        <v>30</v>
      </c>
      <c r="J8" s="8" t="s">
        <v>24</v>
      </c>
      <c r="K8" s="11">
        <v>45</v>
      </c>
      <c r="L8" s="11">
        <v>15</v>
      </c>
      <c r="M8" s="8" t="s">
        <v>25</v>
      </c>
      <c r="N8" s="8">
        <f t="shared" ref="N8:N39" si="3">H8+I8+K8+L8</f>
        <v>150</v>
      </c>
      <c r="O8" s="12" t="s">
        <v>188</v>
      </c>
      <c r="P8" s="13">
        <v>0.5</v>
      </c>
      <c r="Q8" s="12"/>
    </row>
    <row r="9" spans="1:17" ht="31.5" customHeight="1" x14ac:dyDescent="0.3">
      <c r="A9" s="8">
        <v>2</v>
      </c>
      <c r="B9" s="9">
        <f t="shared" si="0"/>
        <v>46322</v>
      </c>
      <c r="C9" s="8" t="str">
        <f t="shared" si="1"/>
        <v>Tue</v>
      </c>
      <c r="D9" s="8">
        <f t="shared" si="2"/>
        <v>1</v>
      </c>
      <c r="E9" s="8" t="s">
        <v>22</v>
      </c>
      <c r="F9" s="8" t="s">
        <v>27</v>
      </c>
      <c r="G9" s="10">
        <v>2.5</v>
      </c>
      <c r="H9" s="11">
        <v>60</v>
      </c>
      <c r="I9" s="11">
        <v>30</v>
      </c>
      <c r="J9" s="8" t="s">
        <v>28</v>
      </c>
      <c r="K9" s="11">
        <v>45</v>
      </c>
      <c r="L9" s="11">
        <v>15</v>
      </c>
      <c r="M9" s="8" t="s">
        <v>29</v>
      </c>
      <c r="N9" s="8">
        <f t="shared" si="3"/>
        <v>150</v>
      </c>
      <c r="O9" s="12" t="s">
        <v>26</v>
      </c>
      <c r="P9" s="13">
        <v>0</v>
      </c>
      <c r="Q9" s="12"/>
    </row>
    <row r="10" spans="1:17" ht="31.5" customHeight="1" x14ac:dyDescent="0.3">
      <c r="A10" s="8">
        <v>3</v>
      </c>
      <c r="B10" s="9">
        <f t="shared" si="0"/>
        <v>46323</v>
      </c>
      <c r="C10" s="8" t="str">
        <f t="shared" si="1"/>
        <v>Wed</v>
      </c>
      <c r="D10" s="8">
        <f t="shared" si="2"/>
        <v>1</v>
      </c>
      <c r="E10" s="8" t="s">
        <v>22</v>
      </c>
      <c r="F10" s="8" t="s">
        <v>30</v>
      </c>
      <c r="G10" s="10">
        <v>2.5</v>
      </c>
      <c r="H10" s="11">
        <v>60</v>
      </c>
      <c r="I10" s="11">
        <v>30</v>
      </c>
      <c r="J10" s="8" t="s">
        <v>31</v>
      </c>
      <c r="K10" s="11">
        <v>45</v>
      </c>
      <c r="L10" s="11">
        <v>15</v>
      </c>
      <c r="M10" s="8" t="s">
        <v>32</v>
      </c>
      <c r="N10" s="8">
        <f t="shared" si="3"/>
        <v>150</v>
      </c>
      <c r="O10" s="12" t="s">
        <v>26</v>
      </c>
      <c r="P10" s="13">
        <v>0</v>
      </c>
      <c r="Q10" s="12"/>
    </row>
    <row r="11" spans="1:17" ht="31.5" customHeight="1" x14ac:dyDescent="0.3">
      <c r="A11" s="8">
        <v>4</v>
      </c>
      <c r="B11" s="9">
        <f t="shared" si="0"/>
        <v>46324</v>
      </c>
      <c r="C11" s="8" t="str">
        <f t="shared" si="1"/>
        <v>Thu</v>
      </c>
      <c r="D11" s="8">
        <f t="shared" si="2"/>
        <v>1</v>
      </c>
      <c r="E11" s="8" t="s">
        <v>22</v>
      </c>
      <c r="F11" s="8" t="s">
        <v>33</v>
      </c>
      <c r="G11" s="10">
        <v>2.5</v>
      </c>
      <c r="H11" s="11">
        <v>60</v>
      </c>
      <c r="I11" s="11">
        <v>30</v>
      </c>
      <c r="J11" s="8" t="s">
        <v>34</v>
      </c>
      <c r="K11" s="11">
        <v>45</v>
      </c>
      <c r="L11" s="11">
        <v>15</v>
      </c>
      <c r="M11" s="8" t="s">
        <v>35</v>
      </c>
      <c r="N11" s="8">
        <f t="shared" si="3"/>
        <v>150</v>
      </c>
      <c r="O11" s="12" t="s">
        <v>26</v>
      </c>
      <c r="P11" s="13">
        <v>0</v>
      </c>
      <c r="Q11" s="12"/>
    </row>
    <row r="12" spans="1:17" ht="31.5" customHeight="1" x14ac:dyDescent="0.3">
      <c r="A12" s="8">
        <v>5</v>
      </c>
      <c r="B12" s="9">
        <f t="shared" si="0"/>
        <v>46325</v>
      </c>
      <c r="C12" s="8" t="str">
        <f t="shared" si="1"/>
        <v>Fri</v>
      </c>
      <c r="D12" s="8">
        <f t="shared" si="2"/>
        <v>1</v>
      </c>
      <c r="E12" s="8" t="s">
        <v>22</v>
      </c>
      <c r="F12" s="8" t="s">
        <v>36</v>
      </c>
      <c r="G12" s="10">
        <v>2.5</v>
      </c>
      <c r="H12" s="11">
        <v>60</v>
      </c>
      <c r="I12" s="11">
        <v>30</v>
      </c>
      <c r="J12" s="8" t="s">
        <v>37</v>
      </c>
      <c r="K12" s="11">
        <v>45</v>
      </c>
      <c r="L12" s="11">
        <v>15</v>
      </c>
      <c r="M12" s="8" t="s">
        <v>38</v>
      </c>
      <c r="N12" s="8">
        <f t="shared" si="3"/>
        <v>150</v>
      </c>
      <c r="O12" s="12" t="s">
        <v>26</v>
      </c>
      <c r="P12" s="13">
        <v>0</v>
      </c>
      <c r="Q12" s="12"/>
    </row>
    <row r="13" spans="1:17" ht="45" customHeight="1" x14ac:dyDescent="0.3">
      <c r="A13" s="8">
        <v>6</v>
      </c>
      <c r="B13" s="9">
        <f t="shared" si="0"/>
        <v>46326</v>
      </c>
      <c r="C13" s="8" t="str">
        <f t="shared" si="1"/>
        <v>Sat</v>
      </c>
      <c r="D13" s="8">
        <f t="shared" si="2"/>
        <v>1</v>
      </c>
      <c r="E13" s="8" t="s">
        <v>22</v>
      </c>
      <c r="F13" s="8" t="s">
        <v>39</v>
      </c>
      <c r="G13" s="10">
        <v>5</v>
      </c>
      <c r="H13" s="11">
        <v>120</v>
      </c>
      <c r="I13" s="11">
        <v>90</v>
      </c>
      <c r="J13" s="8" t="s">
        <v>40</v>
      </c>
      <c r="K13" s="11">
        <v>60</v>
      </c>
      <c r="L13" s="11">
        <v>30</v>
      </c>
      <c r="M13" s="8" t="s">
        <v>41</v>
      </c>
      <c r="N13" s="8">
        <f t="shared" si="3"/>
        <v>300</v>
      </c>
      <c r="O13" s="12" t="s">
        <v>26</v>
      </c>
      <c r="P13" s="13">
        <v>0</v>
      </c>
      <c r="Q13" s="12"/>
    </row>
    <row r="14" spans="1:17" ht="45" customHeight="1" x14ac:dyDescent="0.3">
      <c r="A14" s="8">
        <v>7</v>
      </c>
      <c r="B14" s="9">
        <f t="shared" si="0"/>
        <v>46327</v>
      </c>
      <c r="C14" s="8" t="str">
        <f t="shared" si="1"/>
        <v>Sun</v>
      </c>
      <c r="D14" s="8">
        <f t="shared" si="2"/>
        <v>1</v>
      </c>
      <c r="E14" s="8" t="s">
        <v>22</v>
      </c>
      <c r="F14" s="8" t="s">
        <v>42</v>
      </c>
      <c r="G14" s="10">
        <v>2.5</v>
      </c>
      <c r="H14" s="11">
        <v>75</v>
      </c>
      <c r="I14" s="11">
        <v>0</v>
      </c>
      <c r="J14" s="8" t="s">
        <v>43</v>
      </c>
      <c r="K14" s="11">
        <v>45</v>
      </c>
      <c r="L14" s="11">
        <v>30</v>
      </c>
      <c r="M14" s="8" t="s">
        <v>44</v>
      </c>
      <c r="N14" s="8">
        <f t="shared" si="3"/>
        <v>150</v>
      </c>
      <c r="O14" s="12" t="s">
        <v>26</v>
      </c>
      <c r="P14" s="13">
        <v>0</v>
      </c>
      <c r="Q14" s="12"/>
    </row>
    <row r="15" spans="1:17" ht="31.5" customHeight="1" x14ac:dyDescent="0.3">
      <c r="A15" s="8">
        <v>8</v>
      </c>
      <c r="B15" s="9">
        <f t="shared" si="0"/>
        <v>46328</v>
      </c>
      <c r="C15" s="8" t="str">
        <f t="shared" si="1"/>
        <v>Mon</v>
      </c>
      <c r="D15" s="8">
        <f t="shared" si="2"/>
        <v>2</v>
      </c>
      <c r="E15" s="8" t="s">
        <v>45</v>
      </c>
      <c r="F15" s="8" t="s">
        <v>46</v>
      </c>
      <c r="G15" s="10">
        <v>2.5</v>
      </c>
      <c r="H15" s="11">
        <v>60</v>
      </c>
      <c r="I15" s="11">
        <v>30</v>
      </c>
      <c r="J15" s="8" t="s">
        <v>47</v>
      </c>
      <c r="K15" s="11">
        <v>45</v>
      </c>
      <c r="L15" s="11">
        <v>15</v>
      </c>
      <c r="M15" s="8" t="s">
        <v>48</v>
      </c>
      <c r="N15" s="8">
        <f t="shared" si="3"/>
        <v>150</v>
      </c>
      <c r="O15" s="12" t="s">
        <v>26</v>
      </c>
      <c r="P15" s="13">
        <v>0</v>
      </c>
      <c r="Q15" s="12"/>
    </row>
    <row r="16" spans="1:17" ht="31.5" customHeight="1" x14ac:dyDescent="0.3">
      <c r="A16" s="8">
        <v>9</v>
      </c>
      <c r="B16" s="9">
        <f t="shared" si="0"/>
        <v>46329</v>
      </c>
      <c r="C16" s="8" t="str">
        <f t="shared" si="1"/>
        <v>Tue</v>
      </c>
      <c r="D16" s="8">
        <f t="shared" si="2"/>
        <v>2</v>
      </c>
      <c r="E16" s="8" t="s">
        <v>45</v>
      </c>
      <c r="F16" s="8" t="s">
        <v>49</v>
      </c>
      <c r="G16" s="10">
        <v>2.5</v>
      </c>
      <c r="H16" s="11">
        <v>60</v>
      </c>
      <c r="I16" s="11">
        <v>30</v>
      </c>
      <c r="J16" s="8" t="s">
        <v>50</v>
      </c>
      <c r="K16" s="11">
        <v>45</v>
      </c>
      <c r="L16" s="11">
        <v>15</v>
      </c>
      <c r="M16" s="8" t="s">
        <v>51</v>
      </c>
      <c r="N16" s="8">
        <f t="shared" si="3"/>
        <v>150</v>
      </c>
      <c r="O16" s="12" t="s">
        <v>26</v>
      </c>
      <c r="P16" s="13">
        <v>0</v>
      </c>
      <c r="Q16" s="12"/>
    </row>
    <row r="17" spans="1:17" ht="31.5" customHeight="1" x14ac:dyDescent="0.3">
      <c r="A17" s="8">
        <v>10</v>
      </c>
      <c r="B17" s="9">
        <f t="shared" si="0"/>
        <v>46330</v>
      </c>
      <c r="C17" s="8" t="str">
        <f t="shared" si="1"/>
        <v>Wed</v>
      </c>
      <c r="D17" s="8">
        <f t="shared" si="2"/>
        <v>2</v>
      </c>
      <c r="E17" s="8" t="s">
        <v>45</v>
      </c>
      <c r="F17" s="8" t="s">
        <v>52</v>
      </c>
      <c r="G17" s="10">
        <v>2.5</v>
      </c>
      <c r="H17" s="11">
        <v>60</v>
      </c>
      <c r="I17" s="11">
        <v>30</v>
      </c>
      <c r="J17" s="8" t="s">
        <v>53</v>
      </c>
      <c r="K17" s="11">
        <v>45</v>
      </c>
      <c r="L17" s="11">
        <v>15</v>
      </c>
      <c r="M17" s="8" t="s">
        <v>54</v>
      </c>
      <c r="N17" s="8">
        <f t="shared" si="3"/>
        <v>150</v>
      </c>
      <c r="O17" s="12" t="s">
        <v>26</v>
      </c>
      <c r="P17" s="13">
        <v>0</v>
      </c>
      <c r="Q17" s="12"/>
    </row>
    <row r="18" spans="1:17" ht="45" customHeight="1" x14ac:dyDescent="0.3">
      <c r="A18" s="8">
        <v>11</v>
      </c>
      <c r="B18" s="9">
        <f t="shared" si="0"/>
        <v>46331</v>
      </c>
      <c r="C18" s="8" t="str">
        <f t="shared" si="1"/>
        <v>Thu</v>
      </c>
      <c r="D18" s="8">
        <f t="shared" si="2"/>
        <v>2</v>
      </c>
      <c r="E18" s="8" t="s">
        <v>45</v>
      </c>
      <c r="F18" s="8" t="s">
        <v>55</v>
      </c>
      <c r="G18" s="10">
        <v>2.5</v>
      </c>
      <c r="H18" s="11">
        <v>60</v>
      </c>
      <c r="I18" s="11">
        <v>30</v>
      </c>
      <c r="J18" s="8" t="s">
        <v>56</v>
      </c>
      <c r="K18" s="11">
        <v>45</v>
      </c>
      <c r="L18" s="11">
        <v>15</v>
      </c>
      <c r="M18" s="8" t="s">
        <v>57</v>
      </c>
      <c r="N18" s="8">
        <f t="shared" si="3"/>
        <v>150</v>
      </c>
      <c r="O18" s="12" t="s">
        <v>26</v>
      </c>
      <c r="P18" s="13">
        <v>0</v>
      </c>
      <c r="Q18" s="12"/>
    </row>
    <row r="19" spans="1:17" ht="31.5" customHeight="1" x14ac:dyDescent="0.3">
      <c r="A19" s="8">
        <v>12</v>
      </c>
      <c r="B19" s="9">
        <f t="shared" si="0"/>
        <v>46332</v>
      </c>
      <c r="C19" s="8" t="str">
        <f t="shared" si="1"/>
        <v>Fri</v>
      </c>
      <c r="D19" s="8">
        <f t="shared" si="2"/>
        <v>2</v>
      </c>
      <c r="E19" s="8" t="s">
        <v>45</v>
      </c>
      <c r="F19" s="8" t="s">
        <v>58</v>
      </c>
      <c r="G19" s="10">
        <v>2.5</v>
      </c>
      <c r="H19" s="11">
        <v>60</v>
      </c>
      <c r="I19" s="11">
        <v>30</v>
      </c>
      <c r="J19" s="8" t="s">
        <v>59</v>
      </c>
      <c r="K19" s="11">
        <v>45</v>
      </c>
      <c r="L19" s="11">
        <v>15</v>
      </c>
      <c r="M19" s="8" t="s">
        <v>60</v>
      </c>
      <c r="N19" s="8">
        <f t="shared" si="3"/>
        <v>150</v>
      </c>
      <c r="O19" s="12" t="s">
        <v>26</v>
      </c>
      <c r="P19" s="13">
        <v>0</v>
      </c>
      <c r="Q19" s="12"/>
    </row>
    <row r="20" spans="1:17" ht="45" customHeight="1" x14ac:dyDescent="0.3">
      <c r="A20" s="8">
        <v>13</v>
      </c>
      <c r="B20" s="9">
        <f t="shared" si="0"/>
        <v>46333</v>
      </c>
      <c r="C20" s="8" t="str">
        <f t="shared" si="1"/>
        <v>Sat</v>
      </c>
      <c r="D20" s="8">
        <f t="shared" si="2"/>
        <v>2</v>
      </c>
      <c r="E20" s="8" t="s">
        <v>45</v>
      </c>
      <c r="F20" s="8" t="s">
        <v>61</v>
      </c>
      <c r="G20" s="10">
        <v>5</v>
      </c>
      <c r="H20" s="11">
        <v>120</v>
      </c>
      <c r="I20" s="11">
        <v>90</v>
      </c>
      <c r="J20" s="8" t="s">
        <v>62</v>
      </c>
      <c r="K20" s="11">
        <v>60</v>
      </c>
      <c r="L20" s="11">
        <v>30</v>
      </c>
      <c r="M20" s="8" t="s">
        <v>63</v>
      </c>
      <c r="N20" s="8">
        <f t="shared" si="3"/>
        <v>300</v>
      </c>
      <c r="O20" s="12" t="s">
        <v>26</v>
      </c>
      <c r="P20" s="13">
        <v>0</v>
      </c>
      <c r="Q20" s="12"/>
    </row>
    <row r="21" spans="1:17" ht="45" customHeight="1" x14ac:dyDescent="0.3">
      <c r="A21" s="8">
        <v>14</v>
      </c>
      <c r="B21" s="9">
        <f t="shared" si="0"/>
        <v>46334</v>
      </c>
      <c r="C21" s="8" t="str">
        <f t="shared" si="1"/>
        <v>Sun</v>
      </c>
      <c r="D21" s="8">
        <f t="shared" si="2"/>
        <v>2</v>
      </c>
      <c r="E21" s="8" t="s">
        <v>45</v>
      </c>
      <c r="F21" s="8" t="s">
        <v>64</v>
      </c>
      <c r="G21" s="10">
        <v>2.5</v>
      </c>
      <c r="H21" s="11">
        <v>75</v>
      </c>
      <c r="I21" s="11">
        <v>0</v>
      </c>
      <c r="J21" s="8" t="s">
        <v>43</v>
      </c>
      <c r="K21" s="11">
        <v>45</v>
      </c>
      <c r="L21" s="11">
        <v>30</v>
      </c>
      <c r="M21" s="8" t="s">
        <v>65</v>
      </c>
      <c r="N21" s="8">
        <f t="shared" si="3"/>
        <v>150</v>
      </c>
      <c r="O21" s="12" t="s">
        <v>26</v>
      </c>
      <c r="P21" s="13">
        <v>0</v>
      </c>
      <c r="Q21" s="12"/>
    </row>
    <row r="22" spans="1:17" ht="31.5" customHeight="1" x14ac:dyDescent="0.3">
      <c r="A22" s="8">
        <v>15</v>
      </c>
      <c r="B22" s="9">
        <f t="shared" si="0"/>
        <v>46335</v>
      </c>
      <c r="C22" s="8" t="str">
        <f t="shared" si="1"/>
        <v>Mon</v>
      </c>
      <c r="D22" s="8">
        <f t="shared" si="2"/>
        <v>3</v>
      </c>
      <c r="E22" s="8" t="s">
        <v>66</v>
      </c>
      <c r="F22" s="8" t="s">
        <v>67</v>
      </c>
      <c r="G22" s="10">
        <v>2.5</v>
      </c>
      <c r="H22" s="11">
        <v>60</v>
      </c>
      <c r="I22" s="11">
        <v>30</v>
      </c>
      <c r="J22" s="8" t="s">
        <v>68</v>
      </c>
      <c r="K22" s="11">
        <v>45</v>
      </c>
      <c r="L22" s="11">
        <v>15</v>
      </c>
      <c r="M22" s="8" t="s">
        <v>69</v>
      </c>
      <c r="N22" s="8">
        <f t="shared" si="3"/>
        <v>150</v>
      </c>
      <c r="O22" s="12" t="s">
        <v>26</v>
      </c>
      <c r="P22" s="13">
        <v>0</v>
      </c>
      <c r="Q22" s="12"/>
    </row>
    <row r="23" spans="1:17" ht="31.5" customHeight="1" x14ac:dyDescent="0.3">
      <c r="A23" s="8">
        <v>16</v>
      </c>
      <c r="B23" s="9">
        <f t="shared" si="0"/>
        <v>46336</v>
      </c>
      <c r="C23" s="8" t="str">
        <f t="shared" si="1"/>
        <v>Tue</v>
      </c>
      <c r="D23" s="8">
        <f t="shared" si="2"/>
        <v>3</v>
      </c>
      <c r="E23" s="8" t="s">
        <v>66</v>
      </c>
      <c r="F23" s="8" t="s">
        <v>70</v>
      </c>
      <c r="G23" s="10">
        <v>2.5</v>
      </c>
      <c r="H23" s="11">
        <v>60</v>
      </c>
      <c r="I23" s="11">
        <v>30</v>
      </c>
      <c r="J23" s="8" t="s">
        <v>71</v>
      </c>
      <c r="K23" s="11">
        <v>45</v>
      </c>
      <c r="L23" s="11">
        <v>15</v>
      </c>
      <c r="M23" s="8" t="s">
        <v>72</v>
      </c>
      <c r="N23" s="8">
        <f t="shared" si="3"/>
        <v>150</v>
      </c>
      <c r="O23" s="12" t="s">
        <v>26</v>
      </c>
      <c r="P23" s="13">
        <v>0</v>
      </c>
      <c r="Q23" s="12"/>
    </row>
    <row r="24" spans="1:17" ht="45" customHeight="1" x14ac:dyDescent="0.3">
      <c r="A24" s="8">
        <v>17</v>
      </c>
      <c r="B24" s="9">
        <f t="shared" si="0"/>
        <v>46337</v>
      </c>
      <c r="C24" s="8" t="str">
        <f t="shared" si="1"/>
        <v>Wed</v>
      </c>
      <c r="D24" s="8">
        <f t="shared" si="2"/>
        <v>3</v>
      </c>
      <c r="E24" s="8" t="s">
        <v>66</v>
      </c>
      <c r="F24" s="8" t="s">
        <v>73</v>
      </c>
      <c r="G24" s="10">
        <v>2.5</v>
      </c>
      <c r="H24" s="11">
        <v>60</v>
      </c>
      <c r="I24" s="11">
        <v>30</v>
      </c>
      <c r="J24" s="8" t="s">
        <v>74</v>
      </c>
      <c r="K24" s="11">
        <v>45</v>
      </c>
      <c r="L24" s="11">
        <v>15</v>
      </c>
      <c r="M24" s="8" t="s">
        <v>75</v>
      </c>
      <c r="N24" s="8">
        <f t="shared" si="3"/>
        <v>150</v>
      </c>
      <c r="O24" s="12" t="s">
        <v>26</v>
      </c>
      <c r="P24" s="13">
        <v>0</v>
      </c>
      <c r="Q24" s="12"/>
    </row>
    <row r="25" spans="1:17" ht="45" customHeight="1" x14ac:dyDescent="0.3">
      <c r="A25" s="8">
        <v>18</v>
      </c>
      <c r="B25" s="9">
        <f t="shared" si="0"/>
        <v>46338</v>
      </c>
      <c r="C25" s="8" t="str">
        <f t="shared" si="1"/>
        <v>Thu</v>
      </c>
      <c r="D25" s="8">
        <f t="shared" si="2"/>
        <v>3</v>
      </c>
      <c r="E25" s="8" t="s">
        <v>66</v>
      </c>
      <c r="F25" s="8" t="s">
        <v>76</v>
      </c>
      <c r="G25" s="10">
        <v>2.5</v>
      </c>
      <c r="H25" s="11">
        <v>60</v>
      </c>
      <c r="I25" s="11">
        <v>30</v>
      </c>
      <c r="J25" s="8" t="s">
        <v>77</v>
      </c>
      <c r="K25" s="11">
        <v>45</v>
      </c>
      <c r="L25" s="11">
        <v>15</v>
      </c>
      <c r="M25" s="8" t="s">
        <v>78</v>
      </c>
      <c r="N25" s="8">
        <f t="shared" si="3"/>
        <v>150</v>
      </c>
      <c r="O25" s="12" t="s">
        <v>26</v>
      </c>
      <c r="P25" s="13">
        <v>0</v>
      </c>
      <c r="Q25" s="12"/>
    </row>
    <row r="26" spans="1:17" ht="45" customHeight="1" x14ac:dyDescent="0.3">
      <c r="A26" s="8">
        <v>19</v>
      </c>
      <c r="B26" s="9">
        <f t="shared" si="0"/>
        <v>46339</v>
      </c>
      <c r="C26" s="8" t="str">
        <f t="shared" si="1"/>
        <v>Fri</v>
      </c>
      <c r="D26" s="8">
        <f t="shared" si="2"/>
        <v>3</v>
      </c>
      <c r="E26" s="8" t="s">
        <v>66</v>
      </c>
      <c r="F26" s="8" t="s">
        <v>79</v>
      </c>
      <c r="G26" s="10">
        <v>2.5</v>
      </c>
      <c r="H26" s="11">
        <v>60</v>
      </c>
      <c r="I26" s="11">
        <v>30</v>
      </c>
      <c r="J26" s="8" t="s">
        <v>80</v>
      </c>
      <c r="K26" s="11">
        <v>45</v>
      </c>
      <c r="L26" s="11">
        <v>15</v>
      </c>
      <c r="M26" s="8" t="s">
        <v>81</v>
      </c>
      <c r="N26" s="8">
        <f t="shared" si="3"/>
        <v>150</v>
      </c>
      <c r="O26" s="12" t="s">
        <v>26</v>
      </c>
      <c r="P26" s="13">
        <v>0</v>
      </c>
      <c r="Q26" s="12"/>
    </row>
    <row r="27" spans="1:17" ht="57.75" customHeight="1" x14ac:dyDescent="0.3">
      <c r="A27" s="8">
        <v>20</v>
      </c>
      <c r="B27" s="9">
        <f t="shared" si="0"/>
        <v>46340</v>
      </c>
      <c r="C27" s="8" t="str">
        <f t="shared" si="1"/>
        <v>Sat</v>
      </c>
      <c r="D27" s="8">
        <f t="shared" si="2"/>
        <v>3</v>
      </c>
      <c r="E27" s="8" t="s">
        <v>66</v>
      </c>
      <c r="F27" s="8" t="s">
        <v>82</v>
      </c>
      <c r="G27" s="10">
        <v>5</v>
      </c>
      <c r="H27" s="11">
        <v>120</v>
      </c>
      <c r="I27" s="11">
        <v>90</v>
      </c>
      <c r="J27" s="8" t="s">
        <v>83</v>
      </c>
      <c r="K27" s="11">
        <v>60</v>
      </c>
      <c r="L27" s="11">
        <v>30</v>
      </c>
      <c r="M27" s="8" t="s">
        <v>84</v>
      </c>
      <c r="N27" s="8">
        <f t="shared" si="3"/>
        <v>300</v>
      </c>
      <c r="O27" s="12" t="s">
        <v>26</v>
      </c>
      <c r="P27" s="13">
        <v>0</v>
      </c>
      <c r="Q27" s="12"/>
    </row>
    <row r="28" spans="1:17" ht="45" customHeight="1" x14ac:dyDescent="0.3">
      <c r="A28" s="8">
        <v>21</v>
      </c>
      <c r="B28" s="9">
        <f t="shared" si="0"/>
        <v>46341</v>
      </c>
      <c r="C28" s="8" t="str">
        <f t="shared" si="1"/>
        <v>Sun</v>
      </c>
      <c r="D28" s="8">
        <f t="shared" si="2"/>
        <v>3</v>
      </c>
      <c r="E28" s="8" t="s">
        <v>66</v>
      </c>
      <c r="F28" s="8" t="s">
        <v>85</v>
      </c>
      <c r="G28" s="10">
        <v>2.5</v>
      </c>
      <c r="H28" s="11">
        <v>75</v>
      </c>
      <c r="I28" s="11">
        <v>0</v>
      </c>
      <c r="J28" s="8" t="s">
        <v>43</v>
      </c>
      <c r="K28" s="11">
        <v>45</v>
      </c>
      <c r="L28" s="11">
        <v>30</v>
      </c>
      <c r="M28" s="8" t="s">
        <v>86</v>
      </c>
      <c r="N28" s="8">
        <f t="shared" si="3"/>
        <v>150</v>
      </c>
      <c r="O28" s="12" t="s">
        <v>26</v>
      </c>
      <c r="P28" s="13">
        <v>0</v>
      </c>
      <c r="Q28" s="12"/>
    </row>
    <row r="29" spans="1:17" ht="31.5" customHeight="1" x14ac:dyDescent="0.3">
      <c r="A29" s="8">
        <v>22</v>
      </c>
      <c r="B29" s="9">
        <f t="shared" si="0"/>
        <v>46342</v>
      </c>
      <c r="C29" s="8" t="str">
        <f t="shared" si="1"/>
        <v>Mon</v>
      </c>
      <c r="D29" s="8">
        <f t="shared" si="2"/>
        <v>4</v>
      </c>
      <c r="E29" s="8" t="s">
        <v>87</v>
      </c>
      <c r="F29" s="8" t="s">
        <v>88</v>
      </c>
      <c r="G29" s="10">
        <v>2.5</v>
      </c>
      <c r="H29" s="11">
        <v>60</v>
      </c>
      <c r="I29" s="11">
        <v>30</v>
      </c>
      <c r="J29" s="8" t="s">
        <v>89</v>
      </c>
      <c r="K29" s="11">
        <v>45</v>
      </c>
      <c r="L29" s="11">
        <v>15</v>
      </c>
      <c r="M29" s="8" t="s">
        <v>90</v>
      </c>
      <c r="N29" s="8">
        <f t="shared" si="3"/>
        <v>150</v>
      </c>
      <c r="O29" s="12" t="s">
        <v>26</v>
      </c>
      <c r="P29" s="13">
        <v>0</v>
      </c>
      <c r="Q29" s="12"/>
    </row>
    <row r="30" spans="1:17" ht="31.5" customHeight="1" x14ac:dyDescent="0.3">
      <c r="A30" s="8">
        <v>23</v>
      </c>
      <c r="B30" s="9">
        <f t="shared" si="0"/>
        <v>46343</v>
      </c>
      <c r="C30" s="8" t="str">
        <f t="shared" si="1"/>
        <v>Tue</v>
      </c>
      <c r="D30" s="8">
        <f t="shared" si="2"/>
        <v>4</v>
      </c>
      <c r="E30" s="8" t="s">
        <v>87</v>
      </c>
      <c r="F30" s="8" t="s">
        <v>91</v>
      </c>
      <c r="G30" s="10">
        <v>2.5</v>
      </c>
      <c r="H30" s="11">
        <v>60</v>
      </c>
      <c r="I30" s="11">
        <v>30</v>
      </c>
      <c r="J30" s="8" t="s">
        <v>92</v>
      </c>
      <c r="K30" s="11">
        <v>45</v>
      </c>
      <c r="L30" s="11">
        <v>15</v>
      </c>
      <c r="M30" s="8" t="s">
        <v>93</v>
      </c>
      <c r="N30" s="8">
        <f t="shared" si="3"/>
        <v>150</v>
      </c>
      <c r="O30" s="12" t="s">
        <v>26</v>
      </c>
      <c r="P30" s="13">
        <v>0</v>
      </c>
      <c r="Q30" s="12"/>
    </row>
    <row r="31" spans="1:17" ht="31.5" customHeight="1" x14ac:dyDescent="0.3">
      <c r="A31" s="8">
        <v>24</v>
      </c>
      <c r="B31" s="9">
        <f t="shared" si="0"/>
        <v>46344</v>
      </c>
      <c r="C31" s="8" t="str">
        <f t="shared" si="1"/>
        <v>Wed</v>
      </c>
      <c r="D31" s="8">
        <f t="shared" si="2"/>
        <v>4</v>
      </c>
      <c r="E31" s="8" t="s">
        <v>87</v>
      </c>
      <c r="F31" s="8" t="s">
        <v>94</v>
      </c>
      <c r="G31" s="10">
        <v>2.5</v>
      </c>
      <c r="H31" s="11">
        <v>60</v>
      </c>
      <c r="I31" s="11">
        <v>30</v>
      </c>
      <c r="J31" s="8" t="s">
        <v>95</v>
      </c>
      <c r="K31" s="11">
        <v>45</v>
      </c>
      <c r="L31" s="11">
        <v>15</v>
      </c>
      <c r="M31" s="8" t="s">
        <v>96</v>
      </c>
      <c r="N31" s="8">
        <f t="shared" si="3"/>
        <v>150</v>
      </c>
      <c r="O31" s="12" t="s">
        <v>26</v>
      </c>
      <c r="P31" s="13">
        <v>0</v>
      </c>
      <c r="Q31" s="12"/>
    </row>
    <row r="32" spans="1:17" ht="45" customHeight="1" x14ac:dyDescent="0.3">
      <c r="A32" s="8">
        <v>25</v>
      </c>
      <c r="B32" s="9">
        <f t="shared" si="0"/>
        <v>46345</v>
      </c>
      <c r="C32" s="8" t="str">
        <f t="shared" si="1"/>
        <v>Thu</v>
      </c>
      <c r="D32" s="8">
        <f t="shared" si="2"/>
        <v>4</v>
      </c>
      <c r="E32" s="8" t="s">
        <v>87</v>
      </c>
      <c r="F32" s="8" t="s">
        <v>97</v>
      </c>
      <c r="G32" s="10">
        <v>2.5</v>
      </c>
      <c r="H32" s="11">
        <v>60</v>
      </c>
      <c r="I32" s="11">
        <v>30</v>
      </c>
      <c r="J32" s="8" t="s">
        <v>98</v>
      </c>
      <c r="K32" s="11">
        <v>45</v>
      </c>
      <c r="L32" s="11">
        <v>15</v>
      </c>
      <c r="M32" s="8" t="s">
        <v>99</v>
      </c>
      <c r="N32" s="8">
        <f t="shared" si="3"/>
        <v>150</v>
      </c>
      <c r="O32" s="12" t="s">
        <v>26</v>
      </c>
      <c r="P32" s="13">
        <v>0</v>
      </c>
      <c r="Q32" s="12"/>
    </row>
    <row r="33" spans="1:17" ht="45" customHeight="1" x14ac:dyDescent="0.3">
      <c r="A33" s="8">
        <v>26</v>
      </c>
      <c r="B33" s="9">
        <f t="shared" si="0"/>
        <v>46346</v>
      </c>
      <c r="C33" s="8" t="str">
        <f t="shared" si="1"/>
        <v>Fri</v>
      </c>
      <c r="D33" s="8">
        <f t="shared" si="2"/>
        <v>4</v>
      </c>
      <c r="E33" s="8" t="s">
        <v>87</v>
      </c>
      <c r="F33" s="8" t="s">
        <v>100</v>
      </c>
      <c r="G33" s="10">
        <v>2.5</v>
      </c>
      <c r="H33" s="11">
        <v>60</v>
      </c>
      <c r="I33" s="11">
        <v>30</v>
      </c>
      <c r="J33" s="8" t="s">
        <v>101</v>
      </c>
      <c r="K33" s="11">
        <v>45</v>
      </c>
      <c r="L33" s="11">
        <v>15</v>
      </c>
      <c r="M33" s="8" t="s">
        <v>102</v>
      </c>
      <c r="N33" s="8">
        <f t="shared" si="3"/>
        <v>150</v>
      </c>
      <c r="O33" s="12" t="s">
        <v>26</v>
      </c>
      <c r="P33" s="13">
        <v>0</v>
      </c>
      <c r="Q33" s="12"/>
    </row>
    <row r="34" spans="1:17" ht="45" customHeight="1" x14ac:dyDescent="0.3">
      <c r="A34" s="8">
        <v>27</v>
      </c>
      <c r="B34" s="9">
        <f t="shared" si="0"/>
        <v>46347</v>
      </c>
      <c r="C34" s="8" t="str">
        <f t="shared" si="1"/>
        <v>Sat</v>
      </c>
      <c r="D34" s="8">
        <f t="shared" si="2"/>
        <v>4</v>
      </c>
      <c r="E34" s="8" t="s">
        <v>87</v>
      </c>
      <c r="F34" s="8" t="s">
        <v>103</v>
      </c>
      <c r="G34" s="10">
        <v>5</v>
      </c>
      <c r="H34" s="11">
        <v>120</v>
      </c>
      <c r="I34" s="11">
        <v>90</v>
      </c>
      <c r="J34" s="8" t="s">
        <v>104</v>
      </c>
      <c r="K34" s="11">
        <v>60</v>
      </c>
      <c r="L34" s="11">
        <v>30</v>
      </c>
      <c r="M34" s="8" t="s">
        <v>105</v>
      </c>
      <c r="N34" s="8">
        <f t="shared" si="3"/>
        <v>300</v>
      </c>
      <c r="O34" s="12" t="s">
        <v>26</v>
      </c>
      <c r="P34" s="13">
        <v>0</v>
      </c>
      <c r="Q34" s="12"/>
    </row>
    <row r="35" spans="1:17" ht="45" customHeight="1" x14ac:dyDescent="0.3">
      <c r="A35" s="8">
        <v>28</v>
      </c>
      <c r="B35" s="9">
        <f t="shared" si="0"/>
        <v>46348</v>
      </c>
      <c r="C35" s="8" t="str">
        <f t="shared" si="1"/>
        <v>Sun</v>
      </c>
      <c r="D35" s="8">
        <f t="shared" si="2"/>
        <v>4</v>
      </c>
      <c r="E35" s="8" t="s">
        <v>87</v>
      </c>
      <c r="F35" s="8" t="s">
        <v>106</v>
      </c>
      <c r="G35" s="10">
        <v>2.5</v>
      </c>
      <c r="H35" s="11">
        <v>75</v>
      </c>
      <c r="I35" s="11">
        <v>0</v>
      </c>
      <c r="J35" s="8" t="s">
        <v>43</v>
      </c>
      <c r="K35" s="11">
        <v>45</v>
      </c>
      <c r="L35" s="11">
        <v>30</v>
      </c>
      <c r="M35" s="8" t="s">
        <v>107</v>
      </c>
      <c r="N35" s="8">
        <f t="shared" si="3"/>
        <v>150</v>
      </c>
      <c r="O35" s="12" t="s">
        <v>26</v>
      </c>
      <c r="P35" s="13">
        <v>0</v>
      </c>
      <c r="Q35" s="12"/>
    </row>
    <row r="36" spans="1:17" ht="31.5" customHeight="1" x14ac:dyDescent="0.3">
      <c r="A36" s="8">
        <v>29</v>
      </c>
      <c r="B36" s="9">
        <f t="shared" si="0"/>
        <v>46349</v>
      </c>
      <c r="C36" s="8" t="str">
        <f t="shared" si="1"/>
        <v>Mon</v>
      </c>
      <c r="D36" s="8">
        <f t="shared" si="2"/>
        <v>5</v>
      </c>
      <c r="E36" s="8" t="s">
        <v>108</v>
      </c>
      <c r="F36" s="8" t="s">
        <v>109</v>
      </c>
      <c r="G36" s="10">
        <v>2.5</v>
      </c>
      <c r="H36" s="11">
        <v>60</v>
      </c>
      <c r="I36" s="11">
        <v>30</v>
      </c>
      <c r="J36" s="8" t="s">
        <v>110</v>
      </c>
      <c r="K36" s="11">
        <v>45</v>
      </c>
      <c r="L36" s="11">
        <v>15</v>
      </c>
      <c r="M36" s="8" t="s">
        <v>111</v>
      </c>
      <c r="N36" s="8">
        <f t="shared" si="3"/>
        <v>150</v>
      </c>
      <c r="O36" s="12" t="s">
        <v>26</v>
      </c>
      <c r="P36" s="13">
        <v>0</v>
      </c>
      <c r="Q36" s="12"/>
    </row>
    <row r="37" spans="1:17" ht="45" customHeight="1" x14ac:dyDescent="0.3">
      <c r="A37" s="8">
        <v>30</v>
      </c>
      <c r="B37" s="9">
        <f t="shared" si="0"/>
        <v>46350</v>
      </c>
      <c r="C37" s="8" t="str">
        <f t="shared" si="1"/>
        <v>Tue</v>
      </c>
      <c r="D37" s="8">
        <f t="shared" si="2"/>
        <v>5</v>
      </c>
      <c r="E37" s="8" t="s">
        <v>108</v>
      </c>
      <c r="F37" s="8" t="s">
        <v>112</v>
      </c>
      <c r="G37" s="10">
        <v>2.5</v>
      </c>
      <c r="H37" s="11">
        <v>60</v>
      </c>
      <c r="I37" s="11">
        <v>30</v>
      </c>
      <c r="J37" s="8" t="s">
        <v>113</v>
      </c>
      <c r="K37" s="11">
        <v>45</v>
      </c>
      <c r="L37" s="11">
        <v>15</v>
      </c>
      <c r="M37" s="8" t="s">
        <v>114</v>
      </c>
      <c r="N37" s="8">
        <f t="shared" si="3"/>
        <v>150</v>
      </c>
      <c r="O37" s="12" t="s">
        <v>26</v>
      </c>
      <c r="P37" s="13">
        <v>0</v>
      </c>
      <c r="Q37" s="12"/>
    </row>
    <row r="38" spans="1:17" ht="57.75" customHeight="1" x14ac:dyDescent="0.3">
      <c r="A38" s="8">
        <v>31</v>
      </c>
      <c r="B38" s="9">
        <f t="shared" si="0"/>
        <v>46351</v>
      </c>
      <c r="C38" s="8" t="str">
        <f t="shared" si="1"/>
        <v>Wed</v>
      </c>
      <c r="D38" s="8">
        <f t="shared" si="2"/>
        <v>5</v>
      </c>
      <c r="E38" s="8" t="s">
        <v>108</v>
      </c>
      <c r="F38" s="8" t="s">
        <v>115</v>
      </c>
      <c r="G38" s="10">
        <v>2.5</v>
      </c>
      <c r="H38" s="11">
        <v>60</v>
      </c>
      <c r="I38" s="11">
        <v>30</v>
      </c>
      <c r="J38" s="8" t="s">
        <v>116</v>
      </c>
      <c r="K38" s="11">
        <v>45</v>
      </c>
      <c r="L38" s="11">
        <v>15</v>
      </c>
      <c r="M38" s="8" t="s">
        <v>117</v>
      </c>
      <c r="N38" s="8">
        <f t="shared" si="3"/>
        <v>150</v>
      </c>
      <c r="O38" s="12" t="s">
        <v>26</v>
      </c>
      <c r="P38" s="13">
        <v>0</v>
      </c>
      <c r="Q38" s="12"/>
    </row>
    <row r="39" spans="1:17" ht="45" customHeight="1" x14ac:dyDescent="0.3">
      <c r="A39" s="8">
        <v>32</v>
      </c>
      <c r="B39" s="9">
        <f t="shared" si="0"/>
        <v>46352</v>
      </c>
      <c r="C39" s="8" t="str">
        <f t="shared" si="1"/>
        <v>Thu</v>
      </c>
      <c r="D39" s="8">
        <f t="shared" si="2"/>
        <v>5</v>
      </c>
      <c r="E39" s="8" t="s">
        <v>108</v>
      </c>
      <c r="F39" s="8" t="s">
        <v>118</v>
      </c>
      <c r="G39" s="10">
        <v>2.5</v>
      </c>
      <c r="H39" s="11">
        <v>60</v>
      </c>
      <c r="I39" s="11">
        <v>30</v>
      </c>
      <c r="J39" s="8" t="s">
        <v>119</v>
      </c>
      <c r="K39" s="11">
        <v>45</v>
      </c>
      <c r="L39" s="11">
        <v>15</v>
      </c>
      <c r="M39" s="8" t="s">
        <v>120</v>
      </c>
      <c r="N39" s="8">
        <f t="shared" si="3"/>
        <v>150</v>
      </c>
      <c r="O39" s="12" t="s">
        <v>26</v>
      </c>
      <c r="P39" s="13">
        <v>0</v>
      </c>
      <c r="Q39" s="12"/>
    </row>
    <row r="40" spans="1:17" ht="45" customHeight="1" x14ac:dyDescent="0.3">
      <c r="A40" s="8">
        <v>33</v>
      </c>
      <c r="B40" s="9">
        <f t="shared" ref="B40:B71" si="4">$C$4+A40-1</f>
        <v>46353</v>
      </c>
      <c r="C40" s="8" t="str">
        <f t="shared" ref="C40:C71" si="5">TEXT(B40,"ddd")</f>
        <v>Fri</v>
      </c>
      <c r="D40" s="8">
        <f t="shared" ref="D40:D63" si="6">INT((A40-1)/7)+1</f>
        <v>5</v>
      </c>
      <c r="E40" s="8" t="s">
        <v>108</v>
      </c>
      <c r="F40" s="8" t="s">
        <v>121</v>
      </c>
      <c r="G40" s="10">
        <v>2.5</v>
      </c>
      <c r="H40" s="11">
        <v>60</v>
      </c>
      <c r="I40" s="11">
        <v>30</v>
      </c>
      <c r="J40" s="8" t="s">
        <v>122</v>
      </c>
      <c r="K40" s="11">
        <v>45</v>
      </c>
      <c r="L40" s="11">
        <v>15</v>
      </c>
      <c r="M40" s="8" t="s">
        <v>123</v>
      </c>
      <c r="N40" s="8">
        <f t="shared" ref="N40:N63" si="7">H40+I40+K40+L40</f>
        <v>150</v>
      </c>
      <c r="O40" s="12" t="s">
        <v>26</v>
      </c>
      <c r="P40" s="13">
        <v>0</v>
      </c>
      <c r="Q40" s="12"/>
    </row>
    <row r="41" spans="1:17" ht="57.75" customHeight="1" x14ac:dyDescent="0.3">
      <c r="A41" s="8">
        <v>34</v>
      </c>
      <c r="B41" s="9">
        <f t="shared" si="4"/>
        <v>46354</v>
      </c>
      <c r="C41" s="8" t="str">
        <f t="shared" si="5"/>
        <v>Sat</v>
      </c>
      <c r="D41" s="8">
        <f t="shared" si="6"/>
        <v>5</v>
      </c>
      <c r="E41" s="8" t="s">
        <v>108</v>
      </c>
      <c r="F41" s="8" t="s">
        <v>124</v>
      </c>
      <c r="G41" s="10">
        <v>5</v>
      </c>
      <c r="H41" s="11">
        <v>120</v>
      </c>
      <c r="I41" s="11">
        <v>90</v>
      </c>
      <c r="J41" s="8" t="s">
        <v>125</v>
      </c>
      <c r="K41" s="11">
        <v>60</v>
      </c>
      <c r="L41" s="11">
        <v>30</v>
      </c>
      <c r="M41" s="8" t="s">
        <v>126</v>
      </c>
      <c r="N41" s="8">
        <f t="shared" si="7"/>
        <v>300</v>
      </c>
      <c r="O41" s="12" t="s">
        <v>26</v>
      </c>
      <c r="P41" s="13">
        <v>0</v>
      </c>
      <c r="Q41" s="12"/>
    </row>
    <row r="42" spans="1:17" ht="31.5" customHeight="1" x14ac:dyDescent="0.3">
      <c r="A42" s="8">
        <v>35</v>
      </c>
      <c r="B42" s="9">
        <f t="shared" si="4"/>
        <v>46355</v>
      </c>
      <c r="C42" s="8" t="str">
        <f t="shared" si="5"/>
        <v>Sun</v>
      </c>
      <c r="D42" s="8">
        <f t="shared" si="6"/>
        <v>5</v>
      </c>
      <c r="E42" s="8" t="s">
        <v>108</v>
      </c>
      <c r="F42" s="8" t="s">
        <v>127</v>
      </c>
      <c r="G42" s="10">
        <v>2.5</v>
      </c>
      <c r="H42" s="11">
        <v>75</v>
      </c>
      <c r="I42" s="11">
        <v>0</v>
      </c>
      <c r="J42" s="8" t="s">
        <v>43</v>
      </c>
      <c r="K42" s="11">
        <v>45</v>
      </c>
      <c r="L42" s="11">
        <v>30</v>
      </c>
      <c r="M42" s="8" t="s">
        <v>128</v>
      </c>
      <c r="N42" s="8">
        <f t="shared" si="7"/>
        <v>150</v>
      </c>
      <c r="O42" s="12" t="s">
        <v>26</v>
      </c>
      <c r="P42" s="13">
        <v>0</v>
      </c>
      <c r="Q42" s="12"/>
    </row>
    <row r="43" spans="1:17" ht="31.5" customHeight="1" x14ac:dyDescent="0.3">
      <c r="A43" s="8">
        <v>36</v>
      </c>
      <c r="B43" s="9">
        <f t="shared" si="4"/>
        <v>46356</v>
      </c>
      <c r="C43" s="8" t="str">
        <f t="shared" si="5"/>
        <v>Mon</v>
      </c>
      <c r="D43" s="8">
        <f t="shared" si="6"/>
        <v>6</v>
      </c>
      <c r="E43" s="8" t="s">
        <v>129</v>
      </c>
      <c r="F43" s="8" t="s">
        <v>130</v>
      </c>
      <c r="G43" s="10">
        <v>2.5</v>
      </c>
      <c r="H43" s="11">
        <v>60</v>
      </c>
      <c r="I43" s="11">
        <v>30</v>
      </c>
      <c r="J43" s="8" t="s">
        <v>131</v>
      </c>
      <c r="K43" s="11">
        <v>45</v>
      </c>
      <c r="L43" s="11">
        <v>15</v>
      </c>
      <c r="M43" s="8" t="s">
        <v>132</v>
      </c>
      <c r="N43" s="8">
        <f t="shared" si="7"/>
        <v>150</v>
      </c>
      <c r="O43" s="12" t="s">
        <v>26</v>
      </c>
      <c r="P43" s="13">
        <v>0</v>
      </c>
      <c r="Q43" s="12"/>
    </row>
    <row r="44" spans="1:17" ht="31.5" customHeight="1" x14ac:dyDescent="0.3">
      <c r="A44" s="8">
        <v>37</v>
      </c>
      <c r="B44" s="9">
        <f t="shared" si="4"/>
        <v>46357</v>
      </c>
      <c r="C44" s="8" t="str">
        <f t="shared" si="5"/>
        <v>Tue</v>
      </c>
      <c r="D44" s="8">
        <f t="shared" si="6"/>
        <v>6</v>
      </c>
      <c r="E44" s="8" t="s">
        <v>129</v>
      </c>
      <c r="F44" s="8" t="s">
        <v>133</v>
      </c>
      <c r="G44" s="10">
        <v>2.5</v>
      </c>
      <c r="H44" s="11">
        <v>60</v>
      </c>
      <c r="I44" s="11">
        <v>30</v>
      </c>
      <c r="J44" s="8" t="s">
        <v>134</v>
      </c>
      <c r="K44" s="11">
        <v>45</v>
      </c>
      <c r="L44" s="11">
        <v>15</v>
      </c>
      <c r="M44" s="8" t="s">
        <v>135</v>
      </c>
      <c r="N44" s="8">
        <f t="shared" si="7"/>
        <v>150</v>
      </c>
      <c r="O44" s="12" t="s">
        <v>26</v>
      </c>
      <c r="P44" s="13">
        <v>0</v>
      </c>
      <c r="Q44" s="12"/>
    </row>
    <row r="45" spans="1:17" ht="45" customHeight="1" x14ac:dyDescent="0.3">
      <c r="A45" s="8">
        <v>38</v>
      </c>
      <c r="B45" s="9">
        <f t="shared" si="4"/>
        <v>46358</v>
      </c>
      <c r="C45" s="8" t="str">
        <f t="shared" si="5"/>
        <v>Wed</v>
      </c>
      <c r="D45" s="8">
        <f t="shared" si="6"/>
        <v>6</v>
      </c>
      <c r="E45" s="8" t="s">
        <v>129</v>
      </c>
      <c r="F45" s="8" t="s">
        <v>136</v>
      </c>
      <c r="G45" s="10">
        <v>2.5</v>
      </c>
      <c r="H45" s="11">
        <v>60</v>
      </c>
      <c r="I45" s="11">
        <v>30</v>
      </c>
      <c r="J45" s="8" t="s">
        <v>137</v>
      </c>
      <c r="K45" s="11">
        <v>45</v>
      </c>
      <c r="L45" s="11">
        <v>15</v>
      </c>
      <c r="M45" s="8" t="s">
        <v>138</v>
      </c>
      <c r="N45" s="8">
        <f t="shared" si="7"/>
        <v>150</v>
      </c>
      <c r="O45" s="12" t="s">
        <v>26</v>
      </c>
      <c r="P45" s="13">
        <v>0</v>
      </c>
      <c r="Q45" s="12"/>
    </row>
    <row r="46" spans="1:17" ht="45" customHeight="1" x14ac:dyDescent="0.3">
      <c r="A46" s="8">
        <v>39</v>
      </c>
      <c r="B46" s="9">
        <f t="shared" si="4"/>
        <v>46359</v>
      </c>
      <c r="C46" s="8" t="str">
        <f t="shared" si="5"/>
        <v>Thu</v>
      </c>
      <c r="D46" s="8">
        <f t="shared" si="6"/>
        <v>6</v>
      </c>
      <c r="E46" s="8" t="s">
        <v>129</v>
      </c>
      <c r="F46" s="8" t="s">
        <v>139</v>
      </c>
      <c r="G46" s="10">
        <v>2.5</v>
      </c>
      <c r="H46" s="11">
        <v>60</v>
      </c>
      <c r="I46" s="11">
        <v>30</v>
      </c>
      <c r="J46" s="8" t="s">
        <v>140</v>
      </c>
      <c r="K46" s="11">
        <v>45</v>
      </c>
      <c r="L46" s="11">
        <v>15</v>
      </c>
      <c r="M46" s="8" t="s">
        <v>141</v>
      </c>
      <c r="N46" s="8">
        <f t="shared" si="7"/>
        <v>150</v>
      </c>
      <c r="O46" s="12" t="s">
        <v>26</v>
      </c>
      <c r="P46" s="13">
        <v>0</v>
      </c>
      <c r="Q46" s="12"/>
    </row>
    <row r="47" spans="1:17" ht="31.5" customHeight="1" x14ac:dyDescent="0.3">
      <c r="A47" s="8">
        <v>40</v>
      </c>
      <c r="B47" s="9">
        <f t="shared" si="4"/>
        <v>46360</v>
      </c>
      <c r="C47" s="8" t="str">
        <f t="shared" si="5"/>
        <v>Fri</v>
      </c>
      <c r="D47" s="8">
        <f t="shared" si="6"/>
        <v>6</v>
      </c>
      <c r="E47" s="8" t="s">
        <v>129</v>
      </c>
      <c r="F47" s="8" t="s">
        <v>142</v>
      </c>
      <c r="G47" s="10">
        <v>2.5</v>
      </c>
      <c r="H47" s="11">
        <v>60</v>
      </c>
      <c r="I47" s="11">
        <v>30</v>
      </c>
      <c r="J47" s="8" t="s">
        <v>143</v>
      </c>
      <c r="K47" s="11">
        <v>45</v>
      </c>
      <c r="L47" s="11">
        <v>15</v>
      </c>
      <c r="M47" s="8" t="s">
        <v>144</v>
      </c>
      <c r="N47" s="8">
        <f t="shared" si="7"/>
        <v>150</v>
      </c>
      <c r="O47" s="12" t="s">
        <v>26</v>
      </c>
      <c r="P47" s="13">
        <v>0</v>
      </c>
      <c r="Q47" s="12"/>
    </row>
    <row r="48" spans="1:17" ht="96.75" customHeight="1" x14ac:dyDescent="0.3">
      <c r="A48" s="8">
        <v>41</v>
      </c>
      <c r="B48" s="9">
        <f t="shared" si="4"/>
        <v>46361</v>
      </c>
      <c r="C48" s="8" t="str">
        <f t="shared" si="5"/>
        <v>Sat</v>
      </c>
      <c r="D48" s="8">
        <f t="shared" si="6"/>
        <v>6</v>
      </c>
      <c r="E48" s="8" t="s">
        <v>129</v>
      </c>
      <c r="F48" s="8" t="s">
        <v>145</v>
      </c>
      <c r="G48" s="10">
        <v>5</v>
      </c>
      <c r="H48" s="11">
        <v>120</v>
      </c>
      <c r="I48" s="11">
        <v>90</v>
      </c>
      <c r="J48" s="8" t="s">
        <v>146</v>
      </c>
      <c r="K48" s="11">
        <v>60</v>
      </c>
      <c r="L48" s="11">
        <v>30</v>
      </c>
      <c r="M48" s="8" t="s">
        <v>147</v>
      </c>
      <c r="N48" s="8">
        <f t="shared" si="7"/>
        <v>300</v>
      </c>
      <c r="O48" s="12" t="s">
        <v>26</v>
      </c>
      <c r="P48" s="13">
        <v>0</v>
      </c>
      <c r="Q48" s="12"/>
    </row>
    <row r="49" spans="1:17" ht="70.5" customHeight="1" x14ac:dyDescent="0.3">
      <c r="A49" s="8">
        <v>42</v>
      </c>
      <c r="B49" s="9">
        <f t="shared" si="4"/>
        <v>46362</v>
      </c>
      <c r="C49" s="8" t="str">
        <f t="shared" si="5"/>
        <v>Sun</v>
      </c>
      <c r="D49" s="8">
        <f t="shared" si="6"/>
        <v>6</v>
      </c>
      <c r="E49" s="8" t="s">
        <v>129</v>
      </c>
      <c r="F49" s="8" t="s">
        <v>148</v>
      </c>
      <c r="G49" s="10">
        <v>2.5</v>
      </c>
      <c r="H49" s="11">
        <v>75</v>
      </c>
      <c r="I49" s="11">
        <v>0</v>
      </c>
      <c r="J49" s="8" t="s">
        <v>43</v>
      </c>
      <c r="K49" s="11">
        <v>45</v>
      </c>
      <c r="L49" s="11">
        <v>30</v>
      </c>
      <c r="M49" s="8" t="s">
        <v>149</v>
      </c>
      <c r="N49" s="8">
        <f t="shared" si="7"/>
        <v>150</v>
      </c>
      <c r="O49" s="12" t="s">
        <v>26</v>
      </c>
      <c r="P49" s="13">
        <v>0</v>
      </c>
      <c r="Q49" s="12"/>
    </row>
    <row r="50" spans="1:17" ht="31.5" customHeight="1" x14ac:dyDescent="0.3">
      <c r="A50" s="8">
        <v>43</v>
      </c>
      <c r="B50" s="9">
        <f t="shared" si="4"/>
        <v>46363</v>
      </c>
      <c r="C50" s="8" t="str">
        <f t="shared" si="5"/>
        <v>Mon</v>
      </c>
      <c r="D50" s="8">
        <f t="shared" si="6"/>
        <v>7</v>
      </c>
      <c r="E50" s="8" t="s">
        <v>150</v>
      </c>
      <c r="F50" s="8" t="s">
        <v>151</v>
      </c>
      <c r="G50" s="10">
        <v>2.5</v>
      </c>
      <c r="H50" s="11">
        <v>60</v>
      </c>
      <c r="I50" s="11">
        <v>30</v>
      </c>
      <c r="J50" s="8" t="s">
        <v>152</v>
      </c>
      <c r="K50" s="11">
        <v>45</v>
      </c>
      <c r="L50" s="11">
        <v>15</v>
      </c>
      <c r="M50" s="8" t="s">
        <v>153</v>
      </c>
      <c r="N50" s="8">
        <f t="shared" si="7"/>
        <v>150</v>
      </c>
      <c r="O50" s="12" t="s">
        <v>26</v>
      </c>
      <c r="P50" s="13">
        <v>0</v>
      </c>
      <c r="Q50" s="12"/>
    </row>
    <row r="51" spans="1:17" ht="31.5" customHeight="1" x14ac:dyDescent="0.3">
      <c r="A51" s="8">
        <v>44</v>
      </c>
      <c r="B51" s="9">
        <f t="shared" si="4"/>
        <v>46364</v>
      </c>
      <c r="C51" s="8" t="str">
        <f t="shared" si="5"/>
        <v>Tue</v>
      </c>
      <c r="D51" s="8">
        <f t="shared" si="6"/>
        <v>7</v>
      </c>
      <c r="E51" s="8" t="s">
        <v>150</v>
      </c>
      <c r="F51" s="8" t="s">
        <v>154</v>
      </c>
      <c r="G51" s="10">
        <v>2.5</v>
      </c>
      <c r="H51" s="11">
        <v>60</v>
      </c>
      <c r="I51" s="11">
        <v>30</v>
      </c>
      <c r="J51" s="8" t="s">
        <v>152</v>
      </c>
      <c r="K51" s="11">
        <v>45</v>
      </c>
      <c r="L51" s="11">
        <v>15</v>
      </c>
      <c r="M51" s="8" t="s">
        <v>155</v>
      </c>
      <c r="N51" s="8">
        <f t="shared" si="7"/>
        <v>150</v>
      </c>
      <c r="O51" s="12" t="s">
        <v>26</v>
      </c>
      <c r="P51" s="13">
        <v>0</v>
      </c>
      <c r="Q51" s="12"/>
    </row>
    <row r="52" spans="1:17" ht="31.5" customHeight="1" x14ac:dyDescent="0.3">
      <c r="A52" s="8">
        <v>45</v>
      </c>
      <c r="B52" s="9">
        <f t="shared" si="4"/>
        <v>46365</v>
      </c>
      <c r="C52" s="8" t="str">
        <f t="shared" si="5"/>
        <v>Wed</v>
      </c>
      <c r="D52" s="8">
        <f t="shared" si="6"/>
        <v>7</v>
      </c>
      <c r="E52" s="8" t="s">
        <v>150</v>
      </c>
      <c r="F52" s="8" t="s">
        <v>156</v>
      </c>
      <c r="G52" s="10">
        <v>2.5</v>
      </c>
      <c r="H52" s="11">
        <v>60</v>
      </c>
      <c r="I52" s="11">
        <v>30</v>
      </c>
      <c r="J52" s="8" t="s">
        <v>152</v>
      </c>
      <c r="K52" s="11">
        <v>45</v>
      </c>
      <c r="L52" s="11">
        <v>15</v>
      </c>
      <c r="M52" s="8" t="s">
        <v>157</v>
      </c>
      <c r="N52" s="8">
        <f t="shared" si="7"/>
        <v>150</v>
      </c>
      <c r="O52" s="12" t="s">
        <v>26</v>
      </c>
      <c r="P52" s="13">
        <v>0</v>
      </c>
      <c r="Q52" s="12"/>
    </row>
    <row r="53" spans="1:17" ht="45" customHeight="1" x14ac:dyDescent="0.3">
      <c r="A53" s="8">
        <v>46</v>
      </c>
      <c r="B53" s="9">
        <f t="shared" si="4"/>
        <v>46366</v>
      </c>
      <c r="C53" s="8" t="str">
        <f t="shared" si="5"/>
        <v>Thu</v>
      </c>
      <c r="D53" s="8">
        <f t="shared" si="6"/>
        <v>7</v>
      </c>
      <c r="E53" s="8" t="s">
        <v>150</v>
      </c>
      <c r="F53" s="8" t="s">
        <v>158</v>
      </c>
      <c r="G53" s="10">
        <v>2.5</v>
      </c>
      <c r="H53" s="11">
        <v>60</v>
      </c>
      <c r="I53" s="11">
        <v>30</v>
      </c>
      <c r="J53" s="8" t="s">
        <v>152</v>
      </c>
      <c r="K53" s="11">
        <v>45</v>
      </c>
      <c r="L53" s="11">
        <v>15</v>
      </c>
      <c r="M53" s="8" t="s">
        <v>159</v>
      </c>
      <c r="N53" s="8">
        <f t="shared" si="7"/>
        <v>150</v>
      </c>
      <c r="O53" s="12" t="s">
        <v>26</v>
      </c>
      <c r="P53" s="13">
        <v>0</v>
      </c>
      <c r="Q53" s="12"/>
    </row>
    <row r="54" spans="1:17" ht="57.75" customHeight="1" x14ac:dyDescent="0.3">
      <c r="A54" s="8">
        <v>47</v>
      </c>
      <c r="B54" s="9">
        <f t="shared" si="4"/>
        <v>46367</v>
      </c>
      <c r="C54" s="8" t="str">
        <f t="shared" si="5"/>
        <v>Fri</v>
      </c>
      <c r="D54" s="8">
        <f t="shared" si="6"/>
        <v>7</v>
      </c>
      <c r="E54" s="8" t="s">
        <v>150</v>
      </c>
      <c r="F54" s="8" t="s">
        <v>160</v>
      </c>
      <c r="G54" s="10">
        <v>2.5</v>
      </c>
      <c r="H54" s="11">
        <v>60</v>
      </c>
      <c r="I54" s="11">
        <v>30</v>
      </c>
      <c r="J54" s="8" t="s">
        <v>152</v>
      </c>
      <c r="K54" s="11">
        <v>45</v>
      </c>
      <c r="L54" s="11">
        <v>15</v>
      </c>
      <c r="M54" s="8" t="s">
        <v>161</v>
      </c>
      <c r="N54" s="8">
        <f t="shared" si="7"/>
        <v>150</v>
      </c>
      <c r="O54" s="12" t="s">
        <v>26</v>
      </c>
      <c r="P54" s="13">
        <v>0</v>
      </c>
      <c r="Q54" s="12"/>
    </row>
    <row r="55" spans="1:17" ht="57.75" customHeight="1" x14ac:dyDescent="0.3">
      <c r="A55" s="8">
        <v>48</v>
      </c>
      <c r="B55" s="9">
        <f t="shared" si="4"/>
        <v>46368</v>
      </c>
      <c r="C55" s="8" t="str">
        <f t="shared" si="5"/>
        <v>Sat</v>
      </c>
      <c r="D55" s="8">
        <f t="shared" si="6"/>
        <v>7</v>
      </c>
      <c r="E55" s="8" t="s">
        <v>150</v>
      </c>
      <c r="F55" s="8" t="s">
        <v>162</v>
      </c>
      <c r="G55" s="10">
        <v>5</v>
      </c>
      <c r="H55" s="11">
        <v>120</v>
      </c>
      <c r="I55" s="11">
        <v>90</v>
      </c>
      <c r="J55" s="8" t="s">
        <v>146</v>
      </c>
      <c r="K55" s="11">
        <v>60</v>
      </c>
      <c r="L55" s="11">
        <v>30</v>
      </c>
      <c r="M55" s="8" t="s">
        <v>163</v>
      </c>
      <c r="N55" s="8">
        <f t="shared" si="7"/>
        <v>300</v>
      </c>
      <c r="O55" s="12" t="s">
        <v>26</v>
      </c>
      <c r="P55" s="13">
        <v>0</v>
      </c>
      <c r="Q55" s="12"/>
    </row>
    <row r="56" spans="1:17" ht="45" customHeight="1" x14ac:dyDescent="0.3">
      <c r="A56" s="8">
        <v>49</v>
      </c>
      <c r="B56" s="9">
        <f t="shared" si="4"/>
        <v>46369</v>
      </c>
      <c r="C56" s="8" t="str">
        <f t="shared" si="5"/>
        <v>Sun</v>
      </c>
      <c r="D56" s="8">
        <f t="shared" si="6"/>
        <v>7</v>
      </c>
      <c r="E56" s="8" t="s">
        <v>150</v>
      </c>
      <c r="F56" s="8" t="s">
        <v>164</v>
      </c>
      <c r="G56" s="10">
        <v>2.5</v>
      </c>
      <c r="H56" s="11">
        <v>75</v>
      </c>
      <c r="I56" s="11">
        <v>0</v>
      </c>
      <c r="J56" s="8" t="s">
        <v>43</v>
      </c>
      <c r="K56" s="11">
        <v>45</v>
      </c>
      <c r="L56" s="11">
        <v>30</v>
      </c>
      <c r="M56" s="8" t="s">
        <v>165</v>
      </c>
      <c r="N56" s="8">
        <f t="shared" si="7"/>
        <v>150</v>
      </c>
      <c r="O56" s="12" t="s">
        <v>26</v>
      </c>
      <c r="P56" s="13">
        <v>0</v>
      </c>
      <c r="Q56" s="12"/>
    </row>
    <row r="57" spans="1:17" ht="57.75" customHeight="1" x14ac:dyDescent="0.3">
      <c r="A57" s="8">
        <v>50</v>
      </c>
      <c r="B57" s="9">
        <f t="shared" si="4"/>
        <v>46370</v>
      </c>
      <c r="C57" s="8" t="str">
        <f t="shared" si="5"/>
        <v>Mon</v>
      </c>
      <c r="D57" s="8">
        <f t="shared" si="6"/>
        <v>8</v>
      </c>
      <c r="E57" s="8" t="s">
        <v>166</v>
      </c>
      <c r="F57" s="8" t="s">
        <v>167</v>
      </c>
      <c r="G57" s="10">
        <v>2.5</v>
      </c>
      <c r="H57" s="11">
        <v>60</v>
      </c>
      <c r="I57" s="11">
        <v>30</v>
      </c>
      <c r="J57" s="8" t="s">
        <v>168</v>
      </c>
      <c r="K57" s="11">
        <v>45</v>
      </c>
      <c r="L57" s="11">
        <v>15</v>
      </c>
      <c r="M57" s="8" t="s">
        <v>169</v>
      </c>
      <c r="N57" s="8">
        <f t="shared" si="7"/>
        <v>150</v>
      </c>
      <c r="O57" s="12" t="s">
        <v>26</v>
      </c>
      <c r="P57" s="13">
        <v>0</v>
      </c>
      <c r="Q57" s="12"/>
    </row>
    <row r="58" spans="1:17" ht="57.75" customHeight="1" x14ac:dyDescent="0.3">
      <c r="A58" s="8">
        <v>51</v>
      </c>
      <c r="B58" s="9">
        <f t="shared" si="4"/>
        <v>46371</v>
      </c>
      <c r="C58" s="8" t="str">
        <f t="shared" si="5"/>
        <v>Tue</v>
      </c>
      <c r="D58" s="8">
        <f t="shared" si="6"/>
        <v>8</v>
      </c>
      <c r="E58" s="8" t="s">
        <v>166</v>
      </c>
      <c r="F58" s="8" t="s">
        <v>170</v>
      </c>
      <c r="G58" s="10">
        <v>2.5</v>
      </c>
      <c r="H58" s="11">
        <v>120</v>
      </c>
      <c r="I58" s="11">
        <v>0</v>
      </c>
      <c r="J58" s="8" t="s">
        <v>171</v>
      </c>
      <c r="K58" s="11">
        <v>30</v>
      </c>
      <c r="L58" s="11">
        <v>0</v>
      </c>
      <c r="M58" s="8" t="s">
        <v>172</v>
      </c>
      <c r="N58" s="8">
        <f t="shared" si="7"/>
        <v>150</v>
      </c>
      <c r="O58" s="12" t="s">
        <v>26</v>
      </c>
      <c r="P58" s="13">
        <v>0</v>
      </c>
      <c r="Q58" s="12"/>
    </row>
    <row r="59" spans="1:17" ht="45" customHeight="1" x14ac:dyDescent="0.3">
      <c r="A59" s="8">
        <v>52</v>
      </c>
      <c r="B59" s="9">
        <f t="shared" si="4"/>
        <v>46372</v>
      </c>
      <c r="C59" s="8" t="str">
        <f t="shared" si="5"/>
        <v>Wed</v>
      </c>
      <c r="D59" s="8">
        <f t="shared" si="6"/>
        <v>8</v>
      </c>
      <c r="E59" s="8" t="s">
        <v>166</v>
      </c>
      <c r="F59" s="8" t="s">
        <v>173</v>
      </c>
      <c r="G59" s="10">
        <v>2.5</v>
      </c>
      <c r="H59" s="11">
        <v>105</v>
      </c>
      <c r="I59" s="11">
        <v>0</v>
      </c>
      <c r="J59" s="8" t="s">
        <v>174</v>
      </c>
      <c r="K59" s="11">
        <v>45</v>
      </c>
      <c r="L59" s="11">
        <v>0</v>
      </c>
      <c r="M59" s="8" t="s">
        <v>175</v>
      </c>
      <c r="N59" s="8">
        <f t="shared" si="7"/>
        <v>150</v>
      </c>
      <c r="O59" s="12" t="s">
        <v>26</v>
      </c>
      <c r="P59" s="13">
        <v>0</v>
      </c>
      <c r="Q59" s="12"/>
    </row>
    <row r="60" spans="1:17" ht="45" customHeight="1" x14ac:dyDescent="0.3">
      <c r="A60" s="8">
        <v>53</v>
      </c>
      <c r="B60" s="9">
        <f t="shared" si="4"/>
        <v>46373</v>
      </c>
      <c r="C60" s="8" t="str">
        <f t="shared" si="5"/>
        <v>Thu</v>
      </c>
      <c r="D60" s="8">
        <f t="shared" si="6"/>
        <v>8</v>
      </c>
      <c r="E60" s="8" t="s">
        <v>166</v>
      </c>
      <c r="F60" s="8" t="s">
        <v>176</v>
      </c>
      <c r="G60" s="10">
        <v>2.5</v>
      </c>
      <c r="H60" s="11">
        <v>105</v>
      </c>
      <c r="I60" s="11">
        <v>0</v>
      </c>
      <c r="J60" s="8" t="s">
        <v>177</v>
      </c>
      <c r="K60" s="11">
        <v>45</v>
      </c>
      <c r="L60" s="11">
        <v>0</v>
      </c>
      <c r="M60" s="8" t="s">
        <v>178</v>
      </c>
      <c r="N60" s="8">
        <f t="shared" si="7"/>
        <v>150</v>
      </c>
      <c r="O60" s="12" t="s">
        <v>26</v>
      </c>
      <c r="P60" s="13">
        <v>0</v>
      </c>
      <c r="Q60" s="12"/>
    </row>
    <row r="61" spans="1:17" ht="45" customHeight="1" x14ac:dyDescent="0.3">
      <c r="A61" s="8">
        <v>54</v>
      </c>
      <c r="B61" s="9">
        <f t="shared" si="4"/>
        <v>46374</v>
      </c>
      <c r="C61" s="8" t="str">
        <f t="shared" si="5"/>
        <v>Fri</v>
      </c>
      <c r="D61" s="8">
        <f t="shared" si="6"/>
        <v>8</v>
      </c>
      <c r="E61" s="8" t="s">
        <v>166</v>
      </c>
      <c r="F61" s="8" t="s">
        <v>179</v>
      </c>
      <c r="G61" s="10">
        <v>2.5</v>
      </c>
      <c r="H61" s="11">
        <v>105</v>
      </c>
      <c r="I61" s="11">
        <v>0</v>
      </c>
      <c r="J61" s="8" t="s">
        <v>177</v>
      </c>
      <c r="K61" s="11">
        <v>45</v>
      </c>
      <c r="L61" s="11">
        <v>0</v>
      </c>
      <c r="M61" s="8" t="s">
        <v>180</v>
      </c>
      <c r="N61" s="8">
        <f t="shared" si="7"/>
        <v>150</v>
      </c>
      <c r="O61" s="12" t="s">
        <v>26</v>
      </c>
      <c r="P61" s="13">
        <v>0</v>
      </c>
      <c r="Q61" s="12"/>
    </row>
    <row r="62" spans="1:17" ht="57.75" customHeight="1" x14ac:dyDescent="0.3">
      <c r="A62" s="8">
        <v>55</v>
      </c>
      <c r="B62" s="9">
        <f t="shared" si="4"/>
        <v>46375</v>
      </c>
      <c r="C62" s="8" t="str">
        <f t="shared" si="5"/>
        <v>Sat</v>
      </c>
      <c r="D62" s="8">
        <f t="shared" si="6"/>
        <v>8</v>
      </c>
      <c r="E62" s="8" t="s">
        <v>166</v>
      </c>
      <c r="F62" s="8" t="s">
        <v>181</v>
      </c>
      <c r="G62" s="10">
        <v>5</v>
      </c>
      <c r="H62" s="11">
        <v>240</v>
      </c>
      <c r="I62" s="11">
        <v>0</v>
      </c>
      <c r="J62" s="8" t="s">
        <v>182</v>
      </c>
      <c r="K62" s="11">
        <v>60</v>
      </c>
      <c r="L62" s="11">
        <v>0</v>
      </c>
      <c r="M62" s="8" t="s">
        <v>183</v>
      </c>
      <c r="N62" s="8">
        <f t="shared" si="7"/>
        <v>300</v>
      </c>
      <c r="O62" s="12" t="s">
        <v>26</v>
      </c>
      <c r="P62" s="13">
        <v>0</v>
      </c>
      <c r="Q62" s="12"/>
    </row>
    <row r="63" spans="1:17" ht="45" customHeight="1" x14ac:dyDescent="0.3">
      <c r="A63" s="8">
        <v>56</v>
      </c>
      <c r="B63" s="9">
        <f t="shared" si="4"/>
        <v>46376</v>
      </c>
      <c r="C63" s="8" t="str">
        <f t="shared" si="5"/>
        <v>Sun</v>
      </c>
      <c r="D63" s="8">
        <f t="shared" si="6"/>
        <v>8</v>
      </c>
      <c r="E63" s="8" t="s">
        <v>166</v>
      </c>
      <c r="F63" s="8" t="s">
        <v>184</v>
      </c>
      <c r="G63" s="10">
        <v>2.5</v>
      </c>
      <c r="H63" s="11">
        <v>105</v>
      </c>
      <c r="I63" s="11">
        <v>0</v>
      </c>
      <c r="J63" s="8" t="s">
        <v>185</v>
      </c>
      <c r="K63" s="11">
        <v>45</v>
      </c>
      <c r="L63" s="11">
        <v>0</v>
      </c>
      <c r="M63" s="8" t="s">
        <v>186</v>
      </c>
      <c r="N63" s="8">
        <f t="shared" si="7"/>
        <v>150</v>
      </c>
      <c r="O63" s="12" t="s">
        <v>26</v>
      </c>
      <c r="P63" s="13">
        <v>0</v>
      </c>
      <c r="Q63" s="12"/>
    </row>
    <row r="65" spans="1:17" ht="30" customHeight="1" x14ac:dyDescent="0.3">
      <c r="A65" s="1" t="s">
        <v>187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</sheetData>
  <autoFilter ref="A7:Q63" xr:uid="{00000000-0009-0000-0000-000000000000}"/>
  <mergeCells count="1">
    <mergeCell ref="A65:Q65"/>
  </mergeCells>
  <conditionalFormatting sqref="O8:O63">
    <cfRule type="cellIs" dxfId="1" priority="2" operator="equal">
      <formula>"Done"</formula>
    </cfRule>
    <cfRule type="cellIs" dxfId="0" priority="3" operator="equal">
      <formula>"In progress"</formula>
    </cfRule>
  </conditionalFormatting>
  <dataValidations count="1">
    <dataValidation type="list" sqref="O8:O63" xr:uid="{00000000-0002-0000-00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by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sreeram maruthi</cp:lastModifiedBy>
  <cp:revision>0</cp:revision>
  <dcterms:created xsi:type="dcterms:W3CDTF">2026-10-20T13:18:56Z</dcterms:created>
  <dcterms:modified xsi:type="dcterms:W3CDTF">2026-10-22T16:30:54Z</dcterms:modified>
  <dc:language>en-US</dc:language>
</cp:coreProperties>
</file>