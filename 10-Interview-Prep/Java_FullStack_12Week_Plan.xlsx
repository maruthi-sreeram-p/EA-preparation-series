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Week Plan" sheetId="1" state="visible" r:id="rId3"/>
    <sheet name="Resume Fixes" sheetId="2" state="visible" r:id="rId4"/>
    <sheet name="Project Interview Pre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<sst xmlns="http://schemas.openxmlformats.org/spreadsheetml/2006/main" count="131" uniqueCount="101">
  <si>
    <t xml:space="preserve">Java Full Stack: 12-Week Revision and Deep-Dive Plan (DSA tracked separately)</t>
  </si>
  <si>
    <t xml:space="preserve">Rule: finish the deliverable before moving on, then write a one-page 'how I would explain this in an interview' note.</t>
  </si>
  <si>
    <t xml:space="preserve">Weeks done</t>
  </si>
  <si>
    <t xml:space="preserve">Hours planned</t>
  </si>
  <si>
    <t xml:space="preserve">Progress</t>
  </si>
  <si>
    <t xml:space="preserve">Hours done</t>
  </si>
  <si>
    <t xml:space="preserve">Week</t>
  </si>
  <si>
    <t xml:space="preserve">Focus</t>
  </si>
  <si>
    <t xml:space="preserve">Deep-dive topics</t>
  </si>
  <si>
    <t xml:space="preserve">Tied to</t>
  </si>
  <si>
    <t xml:space="preserve">Deliverable</t>
  </si>
  <si>
    <t xml:space="preserve">Status</t>
  </si>
  <si>
    <t xml:space="preserve">Notes</t>
  </si>
  <si>
    <t xml:space="preserve">1-2</t>
  </si>
  <si>
    <t xml:space="preserve">Core Java internals</t>
  </si>
  <si>
    <t xml:space="preserve">JVM memory and GC, HashMap and collections internals, concurrency, memory model, streams</t>
  </si>
  <si>
    <t xml:space="preserve">Core Java guide, Parts 6-9</t>
  </si>
  <si>
    <t xml:space="preserve">Explain HashMap, GC and the memory model without notes; revision notes written</t>
  </si>
  <si>
    <t xml:space="preserve">Not started</t>
  </si>
  <si>
    <t xml:space="preserve">3-4</t>
  </si>
  <si>
    <t xml:space="preserve">Spring internals</t>
  </si>
  <si>
    <t xml:space="preserve">IoC and bean lifecycle, proxies and AOP, auto-configuration; @Transactional propagation and isolation pitfalls; JPA N+1, locking, lazy loading; Security filter chain, JWT refresh and revocation</t>
  </si>
  <si>
    <t xml:space="preserve">Swagruha Food, internship project</t>
  </si>
  <si>
    <t xml:space="preserve">Fix one real N+1 and one transaction bug in a project; explain the filter chain</t>
  </si>
  <si>
    <t xml:space="preserve">5</t>
  </si>
  <si>
    <t xml:space="preserve">Databases and Redis</t>
  </si>
  <si>
    <t xml:space="preserve">Indexes and query plans, isolation levels, MVCC, locking; Redis data structures, persistence, eviction, cache patterns, cache stampede</t>
  </si>
  <si>
    <t xml:space="preserve">CareerFlux</t>
  </si>
  <si>
    <t xml:space="preserve">Index one slow CareerFlux query with before/after timings; cache-stampede test</t>
  </si>
  <si>
    <t xml:space="preserve">6-7</t>
  </si>
  <si>
    <t xml:space="preserve">Kafka deep dive</t>
  </si>
  <si>
    <t xml:space="preserve">Partitions, consumer groups, offsets, delivery semantics, idempotent producers, transactions, dead-letter queues, ordering; RabbitMQ vs Kafka</t>
  </si>
  <si>
    <t xml:space="preserve">CareerFlux pipeline</t>
  </si>
  <si>
    <t xml:space="preserve">Duplicate-delivery test and DLQ added to the pipeline; one-page design note</t>
  </si>
  <si>
    <t xml:space="preserve">8-9</t>
  </si>
  <si>
    <t xml:space="preserve">Distributed systems and system design</t>
  </si>
  <si>
    <t xml:space="preserve">CAP and consistency models, Raft in depth, replication, idempotency, retries, circuit breakers, sagas; 8-10 system design problems</t>
  </si>
  <si>
    <t xml:space="preserve">Distributed key-value store</t>
  </si>
  <si>
    <t xml:space="preserve">3-minute Raft explanation; 8-10 designs written up</t>
  </si>
  <si>
    <t xml:space="preserve">10</t>
  </si>
  <si>
    <t xml:space="preserve">React deep dive and testing</t>
  </si>
  <si>
    <t xml:space="preserve">Rendering, hooks, performance, state management, TypeScript; JUnit, Mockito, Testcontainers</t>
  </si>
  <si>
    <t xml:space="preserve">Nexus AI, Swagruha Food</t>
  </si>
  <si>
    <t xml:space="preserve">Tests added to one backend project; one React performance fix</t>
  </si>
  <si>
    <t xml:space="preserve">11</t>
  </si>
  <si>
    <t xml:space="preserve">Docker, CI/CD and cloud</t>
  </si>
  <si>
    <t xml:space="preserve">Docker in depth, GitHub Actions CI/CD, AWS deployment, logging and monitoring</t>
  </si>
  <si>
    <t xml:space="preserve">CareerFlux live on a public URL with CI running</t>
  </si>
  <si>
    <t xml:space="preserve">12</t>
  </si>
  <si>
    <t xml:space="preserve">Resume, rehearsal and applications</t>
  </si>
  <si>
    <t xml:space="preserve">Resume rewrite, 3-minute architecture walkthrough for each project, mock interviews, apply</t>
  </si>
  <si>
    <t xml:space="preserve">All projects</t>
  </si>
  <si>
    <t xml:space="preserve">Resume final; 5+ mock interviews done; applications sent</t>
  </si>
  <si>
    <t xml:space="preserve">Legend: yellow cells are yours to edit (Status, Hours done, Notes). Blue numbers are planned hours (assumption: about 20 h/week; change if your pace differs). Example note: 'Raft: re-read log replication, still unsure about commit index'.</t>
  </si>
  <si>
    <t xml:space="preserve">#</t>
  </si>
  <si>
    <t xml:space="preserve">Issue</t>
  </si>
  <si>
    <t xml:space="preserve">Fix</t>
  </si>
  <si>
    <t xml:space="preserve">Priority</t>
  </si>
  <si>
    <t xml:space="preserve">Internship title is cut off ('Online Medication and p')</t>
  </si>
  <si>
    <t xml:space="preserve">Correct the title and project name in the Infosys Springboard line</t>
  </si>
  <si>
    <t xml:space="preserve">High</t>
  </si>
  <si>
    <t xml:space="preserve">Open</t>
  </si>
  <si>
    <t xml:space="preserve">No measurable results</t>
  </si>
  <si>
    <t xml:space="preserve">Add honest numbers: requests/second, latency before/after caching, node count, events processed; measure a few if missing</t>
  </si>
  <si>
    <t xml:space="preserve">No live links on projects</t>
  </si>
  <si>
    <t xml:space="preserve">Add demo and GitHub links; deploy at least CareerFlux</t>
  </si>
  <si>
    <t xml:space="preserve">Missing keywords: testing, CI/CD, cloud</t>
  </si>
  <si>
    <t xml:space="preserve">Add JUnit/Mockito, GitHub Actions and AWS only after actually using them</t>
  </si>
  <si>
    <t xml:space="preserve">Generic summary</t>
  </si>
  <si>
    <t xml:space="preserve">Use a concrete line: Java backend and full stack developer; built Kafka pipelines, a Raft-based store and JWT-secured APIs</t>
  </si>
  <si>
    <t xml:space="preserve">Medium</t>
  </si>
  <si>
    <t xml:space="preserve">RabbitMQ listed in skills but used in no project</t>
  </si>
  <si>
    <t xml:space="preserve">Use it in one project or remove it</t>
  </si>
  <si>
    <t xml:space="preserve">Formatting: missing space in 'PostgreSQL,Redis'</t>
  </si>
  <si>
    <t xml:space="preserve">Fix spacing</t>
  </si>
  <si>
    <t xml:space="preserve">Low</t>
  </si>
  <si>
    <t xml:space="preserve">Fixes done</t>
  </si>
  <si>
    <t xml:space="preserve">Project</t>
  </si>
  <si>
    <t xml:space="preserve">Topic to defend</t>
  </si>
  <si>
    <t xml:space="preserve">Questions to be ready for</t>
  </si>
  <si>
    <t xml:space="preserve">Prepared?</t>
  </si>
  <si>
    <t xml:space="preserve">Distributed Key-Value Store</t>
  </si>
  <si>
    <t xml:space="preserve">Raft</t>
  </si>
  <si>
    <t xml:space="preserve">Leader election, log replication, behaviour in a network partition, commit rules, what happens when the leader fails</t>
  </si>
  <si>
    <t xml:space="preserve">No</t>
  </si>
  <si>
    <t xml:space="preserve">Kafka pipeline</t>
  </si>
  <si>
    <t xml:space="preserve">Why Kafka, partitioning key, consumer groups, duplicate events, delivery guarantees, failure and retry handling</t>
  </si>
  <si>
    <t xml:space="preserve">Redis and PostgreSQL</t>
  </si>
  <si>
    <t xml:space="preserve">What is cached and why, eviction and invalidation, cache stampede, indexing choices</t>
  </si>
  <si>
    <t xml:space="preserve">Swagruha Food</t>
  </si>
  <si>
    <t xml:space="preserve">Spring Security and JWT</t>
  </si>
  <si>
    <t xml:space="preserve">Filter chain, token storage, refresh and revocation, role-based access</t>
  </si>
  <si>
    <t xml:space="preserve">Internship project (medication tracker)</t>
  </si>
  <si>
    <t xml:space="preserve">Layering and validation</t>
  </si>
  <si>
    <t xml:space="preserve">Why thin controllers, where validation lives, transaction boundaries, API error handling</t>
  </si>
  <si>
    <t xml:space="preserve">Nexus AI</t>
  </si>
  <si>
    <t xml:space="preserve">LLM integration</t>
  </si>
  <si>
    <t xml:space="preserve">Architecture, how retrieval works, security of API keys and data, failure handling</t>
  </si>
  <si>
    <t xml:space="preserve">3-minute walkthrough</t>
  </si>
  <si>
    <t xml:space="preserve">Architecture, your role, hardest bug, what you would change</t>
  </si>
  <si>
    <t xml:space="preserve">Ready ('Yes')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</si>
</sst>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26"/>
    <col collapsed="false" customWidth="true" hidden="false" outlineLevel="0" max="5" min="5" style="0" width="45"/>
    <col collapsed="false" customWidth="true" hidden="false" outlineLevel="0" max="6" min="6" style="0" width="13"/>
    <col collapsed="false" customWidth="true" hidden="false" outlineLevel="0" max="8" min="7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COUNTIF(F8:F15,"Done")</f>
        <v>0</v>
      </c>
      <c r="D4" s="3" t="s">
        <v>3</v>
      </c>
      <c r="E4" s="4" t="n">
        <f aca="false">SUM(G8:G15)</f>
        <v>240</v>
      </c>
    </row>
    <row r="5" customFormat="false" ht="15" hidden="false" customHeight="false" outlineLevel="0" collapsed="false">
      <c r="A5" s="3" t="s">
        <v>4</v>
      </c>
      <c r="B5" s="5" t="n">
        <f aca="false">B4/COUNTA(A8:A15)</f>
        <v>0</v>
      </c>
      <c r="D5" s="3" t="s">
        <v>5</v>
      </c>
      <c r="E5" s="4" t="n">
        <f aca="false">SUM(H8:H15)</f>
        <v>0</v>
      </c>
    </row>
    <row r="7" customFormat="false" ht="23.85" hidden="false" customHeight="fals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3</v>
      </c>
      <c r="H7" s="6" t="s">
        <v>5</v>
      </c>
      <c r="I7" s="6" t="s">
        <v>12</v>
      </c>
    </row>
    <row r="8" customFormat="false" ht="23.85" hidden="false" customHeight="false" outlineLevel="0" collapsed="false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8" t="s">
        <v>18</v>
      </c>
      <c r="G8" s="9" t="n">
        <v>40</v>
      </c>
      <c r="H8" s="8" t="n">
        <v>0</v>
      </c>
      <c r="I8" s="8"/>
    </row>
    <row r="9" customFormat="false" ht="35.05" hidden="false" customHeight="false" outlineLevel="0" collapsed="false">
      <c r="A9" s="7" t="s">
        <v>19</v>
      </c>
      <c r="B9" s="7" t="s">
        <v>20</v>
      </c>
      <c r="C9" s="7" t="s">
        <v>21</v>
      </c>
      <c r="D9" s="7" t="s">
        <v>22</v>
      </c>
      <c r="E9" s="7" t="s">
        <v>23</v>
      </c>
      <c r="F9" s="8" t="s">
        <v>18</v>
      </c>
      <c r="G9" s="9" t="n">
        <v>40</v>
      </c>
      <c r="H9" s="8" t="n">
        <v>0</v>
      </c>
      <c r="I9" s="8"/>
    </row>
    <row r="10" customFormat="false" ht="35.05" hidden="false" customHeight="false" outlineLevel="0" collapsed="false">
      <c r="A10" s="7" t="s">
        <v>24</v>
      </c>
      <c r="B10" s="7" t="s">
        <v>25</v>
      </c>
      <c r="C10" s="7" t="s">
        <v>26</v>
      </c>
      <c r="D10" s="7" t="s">
        <v>27</v>
      </c>
      <c r="E10" s="7" t="s">
        <v>28</v>
      </c>
      <c r="F10" s="8" t="s">
        <v>18</v>
      </c>
      <c r="G10" s="9" t="n">
        <v>20</v>
      </c>
      <c r="H10" s="8" t="n">
        <v>0</v>
      </c>
      <c r="I10" s="8"/>
    </row>
    <row r="11" customFormat="false" ht="35.05" hidden="false" customHeight="false" outlineLevel="0" collapsed="false">
      <c r="A11" s="7" t="s">
        <v>29</v>
      </c>
      <c r="B11" s="7" t="s">
        <v>30</v>
      </c>
      <c r="C11" s="7" t="s">
        <v>31</v>
      </c>
      <c r="D11" s="7" t="s">
        <v>32</v>
      </c>
      <c r="E11" s="7" t="s">
        <v>33</v>
      </c>
      <c r="F11" s="8" t="s">
        <v>18</v>
      </c>
      <c r="G11" s="9" t="n">
        <v>40</v>
      </c>
      <c r="H11" s="8" t="n">
        <v>0</v>
      </c>
      <c r="I11" s="8"/>
    </row>
    <row r="12" customFormat="false" ht="35.05" hidden="false" customHeight="false" outlineLevel="0" collapsed="false">
      <c r="A12" s="7" t="s">
        <v>34</v>
      </c>
      <c r="B12" s="7" t="s">
        <v>35</v>
      </c>
      <c r="C12" s="7" t="s">
        <v>36</v>
      </c>
      <c r="D12" s="7" t="s">
        <v>37</v>
      </c>
      <c r="E12" s="7" t="s">
        <v>38</v>
      </c>
      <c r="F12" s="8" t="s">
        <v>18</v>
      </c>
      <c r="G12" s="9" t="n">
        <v>40</v>
      </c>
      <c r="H12" s="8" t="n">
        <v>0</v>
      </c>
      <c r="I12" s="8"/>
    </row>
    <row r="13" customFormat="false" ht="23.85" hidden="false" customHeight="false" outlineLevel="0" collapsed="false">
      <c r="A13" s="7" t="s">
        <v>39</v>
      </c>
      <c r="B13" s="7" t="s">
        <v>40</v>
      </c>
      <c r="C13" s="7" t="s">
        <v>41</v>
      </c>
      <c r="D13" s="7" t="s">
        <v>42</v>
      </c>
      <c r="E13" s="7" t="s">
        <v>43</v>
      </c>
      <c r="F13" s="8" t="s">
        <v>18</v>
      </c>
      <c r="G13" s="9" t="n">
        <v>20</v>
      </c>
      <c r="H13" s="8" t="n">
        <v>0</v>
      </c>
      <c r="I13" s="8"/>
    </row>
    <row r="14" customFormat="false" ht="23.85" hidden="false" customHeight="false" outlineLevel="0" collapsed="false">
      <c r="A14" s="7" t="s">
        <v>44</v>
      </c>
      <c r="B14" s="7" t="s">
        <v>45</v>
      </c>
      <c r="C14" s="7" t="s">
        <v>46</v>
      </c>
      <c r="D14" s="7" t="s">
        <v>27</v>
      </c>
      <c r="E14" s="7" t="s">
        <v>47</v>
      </c>
      <c r="F14" s="8" t="s">
        <v>18</v>
      </c>
      <c r="G14" s="9" t="n">
        <v>20</v>
      </c>
      <c r="H14" s="8" t="n">
        <v>0</v>
      </c>
      <c r="I14" s="8"/>
    </row>
    <row r="15" customFormat="false" ht="23.85" hidden="false" customHeight="false" outlineLevel="0" collapsed="false">
      <c r="A15" s="7" t="s">
        <v>48</v>
      </c>
      <c r="B15" s="7" t="s">
        <v>49</v>
      </c>
      <c r="C15" s="7" t="s">
        <v>50</v>
      </c>
      <c r="D15" s="7" t="s">
        <v>51</v>
      </c>
      <c r="E15" s="7" t="s">
        <v>52</v>
      </c>
      <c r="F15" s="8" t="s">
        <v>18</v>
      </c>
      <c r="G15" s="9" t="n">
        <v>20</v>
      </c>
      <c r="H15" s="8" t="n">
        <v>0</v>
      </c>
      <c r="I15" s="8"/>
    </row>
    <row r="17" customFormat="false" ht="15" hidden="false" customHeight="false" outlineLevel="0" collapsed="false">
      <c r="A17" s="10" t="s">
        <v>53</v>
      </c>
    </row>
  </sheetData>
  <conditionalFormatting sqref="F8:F15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F8:F15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54</v>
      </c>
      <c r="B1" s="6" t="s">
        <v>55</v>
      </c>
      <c r="C1" s="6" t="s">
        <v>56</v>
      </c>
      <c r="D1" s="6" t="s">
        <v>57</v>
      </c>
      <c r="E1" s="6" t="s">
        <v>11</v>
      </c>
    </row>
    <row r="2" customFormat="false" ht="15" hidden="false" customHeight="false" outlineLevel="0" collapsed="false">
      <c r="A2" s="7" t="n">
        <v>1</v>
      </c>
      <c r="B2" s="7" t="s">
        <v>58</v>
      </c>
      <c r="C2" s="7" t="s">
        <v>59</v>
      </c>
      <c r="D2" s="7" t="s">
        <v>60</v>
      </c>
      <c r="E2" s="8" t="s">
        <v>61</v>
      </c>
    </row>
    <row r="3" customFormat="false" ht="23.85" hidden="false" customHeight="false" outlineLevel="0" collapsed="false">
      <c r="A3" s="7" t="n">
        <v>2</v>
      </c>
      <c r="B3" s="7" t="s">
        <v>62</v>
      </c>
      <c r="C3" s="7" t="s">
        <v>63</v>
      </c>
      <c r="D3" s="7" t="s">
        <v>60</v>
      </c>
      <c r="E3" s="8" t="s">
        <v>61</v>
      </c>
    </row>
    <row r="4" customFormat="false" ht="15" hidden="false" customHeight="false" outlineLevel="0" collapsed="false">
      <c r="A4" s="7" t="n">
        <v>3</v>
      </c>
      <c r="B4" s="7" t="s">
        <v>64</v>
      </c>
      <c r="C4" s="7" t="s">
        <v>65</v>
      </c>
      <c r="D4" s="7" t="s">
        <v>60</v>
      </c>
      <c r="E4" s="8" t="s">
        <v>61</v>
      </c>
    </row>
    <row r="5" customFormat="false" ht="15" hidden="false" customHeight="false" outlineLevel="0" collapsed="false">
      <c r="A5" s="7" t="n">
        <v>4</v>
      </c>
      <c r="B5" s="7" t="s">
        <v>66</v>
      </c>
      <c r="C5" s="7" t="s">
        <v>67</v>
      </c>
      <c r="D5" s="7" t="s">
        <v>60</v>
      </c>
      <c r="E5" s="8" t="s">
        <v>61</v>
      </c>
    </row>
    <row r="6" customFormat="false" ht="23.85" hidden="false" customHeight="false" outlineLevel="0" collapsed="false">
      <c r="A6" s="7" t="n">
        <v>5</v>
      </c>
      <c r="B6" s="7" t="s">
        <v>68</v>
      </c>
      <c r="C6" s="7" t="s">
        <v>69</v>
      </c>
      <c r="D6" s="7" t="s">
        <v>70</v>
      </c>
      <c r="E6" s="8" t="s">
        <v>61</v>
      </c>
    </row>
    <row r="7" customFormat="false" ht="15" hidden="false" customHeight="false" outlineLevel="0" collapsed="false">
      <c r="A7" s="7" t="n">
        <v>6</v>
      </c>
      <c r="B7" s="7" t="s">
        <v>71</v>
      </c>
      <c r="C7" s="7" t="s">
        <v>72</v>
      </c>
      <c r="D7" s="7" t="s">
        <v>70</v>
      </c>
      <c r="E7" s="8" t="s">
        <v>61</v>
      </c>
    </row>
    <row r="8" customFormat="false" ht="15" hidden="false" customHeight="false" outlineLevel="0" collapsed="false">
      <c r="A8" s="7" t="n">
        <v>7</v>
      </c>
      <c r="B8" s="7" t="s">
        <v>73</v>
      </c>
      <c r="C8" s="7" t="s">
        <v>74</v>
      </c>
      <c r="D8" s="7" t="s">
        <v>75</v>
      </c>
      <c r="E8" s="8" t="s">
        <v>61</v>
      </c>
    </row>
    <row r="10" customFormat="false" ht="15" hidden="false" customHeight="false" outlineLevel="0" collapsed="false">
      <c r="B10" s="3" t="s">
        <v>76</v>
      </c>
      <c r="C10" s="4" t="str">
        <f aca="false">COUNTIF(E2:E8,"Done")&amp;" of "&amp;COUNTA(B2:B8)</f>
        <v>0 of 7</v>
      </c>
    </row>
  </sheetData>
  <dataValidations count="1">
    <dataValidation allowBlank="false" errorStyle="stop" operator="between" showDropDown="false" showErrorMessage="false" showInputMessage="false" sqref="E2:E8" type="list">
      <formula1>"Open,Done"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77</v>
      </c>
      <c r="B1" s="6" t="s">
        <v>78</v>
      </c>
      <c r="C1" s="6" t="s">
        <v>79</v>
      </c>
      <c r="D1" s="6" t="s">
        <v>80</v>
      </c>
    </row>
    <row r="2" customFormat="false" ht="23.85" hidden="false" customHeight="false" outlineLevel="0" collapsed="false">
      <c r="A2" s="7" t="s">
        <v>81</v>
      </c>
      <c r="B2" s="7" t="s">
        <v>82</v>
      </c>
      <c r="C2" s="7" t="s">
        <v>83</v>
      </c>
      <c r="D2" s="8" t="s">
        <v>84</v>
      </c>
    </row>
    <row r="3" customFormat="false" ht="23.85" hidden="false" customHeight="false" outlineLevel="0" collapsed="false">
      <c r="A3" s="7" t="s">
        <v>27</v>
      </c>
      <c r="B3" s="7" t="s">
        <v>85</v>
      </c>
      <c r="C3" s="7" t="s">
        <v>86</v>
      </c>
      <c r="D3" s="8" t="s">
        <v>84</v>
      </c>
    </row>
    <row r="4" customFormat="false" ht="15" hidden="false" customHeight="false" outlineLevel="0" collapsed="false">
      <c r="A4" s="7" t="s">
        <v>27</v>
      </c>
      <c r="B4" s="7" t="s">
        <v>87</v>
      </c>
      <c r="C4" s="7" t="s">
        <v>88</v>
      </c>
      <c r="D4" s="8" t="s">
        <v>84</v>
      </c>
    </row>
    <row r="5" customFormat="false" ht="15" hidden="false" customHeight="false" outlineLevel="0" collapsed="false">
      <c r="A5" s="7" t="s">
        <v>89</v>
      </c>
      <c r="B5" s="7" t="s">
        <v>90</v>
      </c>
      <c r="C5" s="7" t="s">
        <v>91</v>
      </c>
      <c r="D5" s="8" t="s">
        <v>84</v>
      </c>
    </row>
    <row r="6" customFormat="false" ht="15" hidden="false" customHeight="false" outlineLevel="0" collapsed="false">
      <c r="A6" s="7" t="s">
        <v>92</v>
      </c>
      <c r="B6" s="7" t="s">
        <v>93</v>
      </c>
      <c r="C6" s="7" t="s">
        <v>94</v>
      </c>
      <c r="D6" s="8" t="s">
        <v>84</v>
      </c>
    </row>
    <row r="7" customFormat="false" ht="15" hidden="false" customHeight="false" outlineLevel="0" collapsed="false">
      <c r="A7" s="7" t="s">
        <v>95</v>
      </c>
      <c r="B7" s="7" t="s">
        <v>96</v>
      </c>
      <c r="C7" s="7" t="s">
        <v>97</v>
      </c>
      <c r="D7" s="8" t="s">
        <v>84</v>
      </c>
    </row>
    <row r="8" customFormat="false" ht="15" hidden="false" customHeight="false" outlineLevel="0" collapsed="false">
      <c r="A8" s="7" t="s">
        <v>51</v>
      </c>
      <c r="B8" s="7" t="s">
        <v>98</v>
      </c>
      <c r="C8" s="7" t="s">
        <v>99</v>
      </c>
      <c r="D8" s="8" t="s">
        <v>84</v>
      </c>
    </row>
    <row r="10" customFormat="false" ht="15" hidden="false" customHeight="false" outlineLevel="0" collapsed="false">
      <c r="C10" s="3" t="s">
        <v>100</v>
      </c>
      <c r="D10" s="4" t="str">
        <f aca="false">COUNTIF(D2:D8,"Yes")&amp;" of "&amp;COUNTA(A2:A8)</f>
        <v>0 of 7</v>
      </c>
    </row>
  </sheetData>
  <dataValidations count="1">
    <dataValidation allowBlank="false" errorStyle="stop" operator="between" showDropDown="false" showErrorMessage="false" showInputMessage="false" sqref="D2:D8" type="list">
      <formula1>"No,Partly,Yes"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2026-10-16T12:46:54Z</dcterms:created>
  <dc:creator>openpyxl</dc:creator>
  <dc:description/>
  <dc:language>en-US</dc:language>
  <cp:lastModifiedBy/>
  <dcterms:modified xsi:type="dcterms:W3CDTF">2026-10-16T12:46:54Z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